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VendorLookup" sheetId="2" r:id="rId6"/>
    <sheet state="visible" name="Analytics Summary" sheetId="3" r:id="rId7"/>
    <sheet state="visible" name="Dashboard" sheetId="4" r:id="rId8"/>
    <sheet state="visible" name="Refelction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tc={2e1cd3f7-baec-4299-aec6-05642ed24f18}</author>
    <author>tc={b1a5c3bb-39ee-4e97-9727-6a4dacd23a8a}</author>
    <author>tc={b341b6a4-1a92-4966-b16c-dff46bdcaf21}</author>
  </authors>
  <commentList>
    <comment authorId="0" xr:uid="{2e1cd3f7-baec-4299-aec6-05642ed24f18}" ref="I1">
      <text>
        <t xml:space="preserve">[Threaded comment]
 Your version of Excel allows you to read this threaded comment; however, any edits to it will get removed if the file is opened in a newer version of Excel. Learn more: https://go.microsoft.com/fwlink/?linkid=870924
Comment:
	Added budget status logic to the whole column - Dan Jaraplasan
</t>
      </text>
    </comment>
    <comment authorId="1" xr:uid="{b1a5c3bb-39ee-4e97-9727-6a4dacd23a8a}" ref="K1">
      <text>
        <t xml:space="preserve">[Threaded comment]
 Your version of Excel allows you to read this threaded comment; however, any edits to it will get removed if the file is opened in a newer version of Excel. Learn more: https://go.microsoft.com/fwlink/?linkid=870924
Comment:
	Checked that headers are complete and properly formatted.
-Project Manager (Mico Grande)
</t>
      </text>
    </comment>
    <comment authorId="2" xr:uid="{b341b6a4-1a92-4966-b16c-dff46bdcaf21}" ref="A1">
      <text>
        <t xml:space="preserve">[Threaded comment]
 Your version of Excel allows you to read this threaded comment; however, any edits to it will get removed if the file is opened in a newer version of Excel. Learn more: https://go.microsoft.com/fwlink/?linkid=870924
Comment:
	Added headers and formatted the table. - Aaron Jan Rafael L. Malda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tc={ff374ca3-9e44-4cb0-9185-ac0b9d57677b}</author>
  </authors>
  <commentList>
    <comment authorId="0" xr:uid="{ff374ca3-9e44-4cb0-9185-ac0b9d57677b}" ref="B5">
      <text>
        <t xml:space="preserve">[Threaded comment]
 Your version of Excel allows you to read this threaded comment; however, any edits to it will get removed if the file is opened in a newer version of Excel. Learn more: https://go.microsoft.com/fwlink/?linkid=870924
Comment:
	Ensured table is formatted properly for reference use.
Project Manager (Mico Grande)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tc={35d71491-0168-431f-95da-209733fbf989}</author>
    <author>tc={d9d6a5e5-4a15-437c-a4ca-7912d99eff88}</author>
    <author>tc={ffc8dc2d-c7aa-4a79-b360-d17383f2d3ad}</author>
  </authors>
  <commentList>
    <comment authorId="0" xr:uid="{35d71491-0168-431f-95da-209733fbf989}" ref="B13">
      <text>
        <t xml:space="preserve">[Threaded comment]
 Your version of Excel allows you to read this threaded comment; however, any edits to it will get removed if the file is opened in a newer version of Excel. Learn more: https://go.microsoft.com/fwlink/?linkid=870924
Comment:
	Added Formula and number formatting - Dan Jaraplasan
</t>
      </text>
    </comment>
    <comment authorId="1" xr:uid="{d9d6a5e5-4a15-437c-a4ca-7912d99eff88}" ref="E3">
      <text>
        <t xml:space="preserve">[Threaded comment]
 Your version of Excel allows you to read this threaded comment; however, any edits to it will get removed if the file is opened in a newer version of Excel. Learn more: https://go.microsoft.com/fwlink/?linkid=870924
Comment:
	Added Formula and number formatting - Dan Jaraplasan
</t>
      </text>
    </comment>
    <comment authorId="2" xr:uid="{ffc8dc2d-c7aa-4a79-b360-d17383f2d3ad}" ref="B4">
      <text>
        <t xml:space="preserve">[Threaded comment]
 Your version of Excel allows you to read this threaded comment; however, any edits to it will get removed if the file is opened in a newer version of Excel. Learn more: https://go.microsoft.com/fwlink/?linkid=870924
Comment:
	Added Formula and number formatting - Dan Jaraplasan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tc={6ad9f870-a1dd-4eb2-a199-eecd8566b23b}</author>
    <author>tc={c094c0d9-4349-4abf-875f-5fba4f3f202e}</author>
    <author>tc={c1e7ccf6-3d31-4a23-a38f-9036097c2ad7}</author>
  </authors>
  <commentList>
    <comment authorId="0" xr:uid="{6ad9f870-a1dd-4eb2-a199-eecd8566b23b}" ref="C20">
      <text>
        <t xml:space="preserve">[Threaded comment]
 Your version of Excel allows you to read this threaded comment; however, any edits to it will get removed if the file is opened in a newer version of Excel. Learn more: https://go.microsoft.com/fwlink/?linkid=870924
Comment:
	Created pie chart for Payment Status; verified counts and labels.
Assistant Visual Designer (Yuri Banaag)
</t>
      </text>
    </comment>
    <comment authorId="1" xr:uid="{c094c0d9-4349-4abf-875f-5fba4f3f202e}" ref="C35">
      <text>
        <t xml:space="preserve">[Threaded comment]
 Your version of Excel allows you to read this threaded comment; however, any edits to it will get removed if the file is opened in a newer version of Excel. Learn more: https://go.microsoft.com/fwlink/?linkid=870924
Comment:
	Added line chart for Monthly Spending Trend; confirmed data matches scenario.
Assistant Visual Designer (Yuri Banaag)
</t>
      </text>
    </comment>
    <comment authorId="2" xr:uid="{c1e7ccf6-3d31-4a23-a38f-9036097c2ad7}" ref="A1">
      <text>
        <t xml:space="preserve">[Threaded comment]
 Your version of Excel allows you to read this threaded comment; however, any edits to it will get removed if the file is opened in a newer version of Excel. Learn more: https://go.microsoft.com/fwlink/?linkid=870924
Comment:
	updated dashboard layout - Jama Sariol
</t>
      </text>
    </comment>
  </commentList>
</comments>
</file>

<file path=xl/sharedStrings.xml><?xml version="1.0" encoding="utf-8"?>
<sst xmlns="http://schemas.openxmlformats.org/spreadsheetml/2006/main" count="294" uniqueCount="50">
  <si>
    <t>Expense Category</t>
  </si>
  <si>
    <t>Estimated Cost</t>
  </si>
  <si>
    <t>Actual Cost</t>
  </si>
  <si>
    <t>Payment Status</t>
  </si>
  <si>
    <t>Vendor</t>
  </si>
  <si>
    <t>Event Date</t>
  </si>
  <si>
    <t>Responsible Officer</t>
  </si>
  <si>
    <t>Budget Variance</t>
  </si>
  <si>
    <t>Budget Status</t>
  </si>
  <si>
    <t>Vendor Type (Lookup)</t>
  </si>
  <si>
    <t>Marketing</t>
  </si>
  <si>
    <t>Paid</t>
  </si>
  <si>
    <t>Vendor B</t>
  </si>
  <si>
    <t>Officer 4</t>
  </si>
  <si>
    <t>Unpaid</t>
  </si>
  <si>
    <t>Vendor A</t>
  </si>
  <si>
    <t>Officer 2</t>
  </si>
  <si>
    <t>Vendor C</t>
  </si>
  <si>
    <t>Officer 1</t>
  </si>
  <si>
    <t>Equipment</t>
  </si>
  <si>
    <t>Officer 3</t>
  </si>
  <si>
    <t>Logistics</t>
  </si>
  <si>
    <t>Vendor D</t>
  </si>
  <si>
    <t>Catering</t>
  </si>
  <si>
    <t>Venue</t>
  </si>
  <si>
    <t>Vendor Type</t>
  </si>
  <si>
    <t>Food Services</t>
  </si>
  <si>
    <t>Venue Provider</t>
  </si>
  <si>
    <t>Marketing Agency</t>
  </si>
  <si>
    <t>Equipment Supplier</t>
  </si>
  <si>
    <t>PIVOT TABLE 1: Total Actual Cost per Expense Category</t>
  </si>
  <si>
    <t>Total Actual Cost</t>
  </si>
  <si>
    <t>Total Estimated (SUM)</t>
  </si>
  <si>
    <t>Average Actual (AVERAGE)</t>
  </si>
  <si>
    <t>Unpaid Count (COUNTIF)</t>
  </si>
  <si>
    <t>Total Catering (SUMIF)</t>
  </si>
  <si>
    <t>PIVOT TABLE 2: Total Actual Cost per Responsible Officer</t>
  </si>
  <si>
    <t>Total Estimated</t>
  </si>
  <si>
    <t>Total Actual</t>
  </si>
  <si>
    <t>Highest Actual</t>
  </si>
  <si>
    <t>Lowest Actual</t>
  </si>
  <si>
    <t>Month</t>
  </si>
  <si>
    <t>Total Spending</t>
  </si>
  <si>
    <t>Jan</t>
  </si>
  <si>
    <t>Feb</t>
  </si>
  <si>
    <t>Mar</t>
  </si>
  <si>
    <t>Apr</t>
  </si>
  <si>
    <t>May</t>
  </si>
  <si>
    <t>Jun</t>
  </si>
  <si>
    <r>
      <rPr>
        <rFont val="Calibri"/>
        <b/>
        <color theme="1"/>
      </rPr>
      <t>1. Mico Grande – Project Manager</t>
    </r>
    <r>
      <rPr>
        <rFont val="Calibri"/>
        <color theme="1"/>
      </rPr>
      <t xml:space="preserve">
As the Project Manager, I was responsible for organizing the overall structure of the spreadsheet and ensuring that all sheets were logically connected. I coordinated task assignments, reviewed formulas and summaries, and made sure deadlines were followed. One challenge I faced was keeping everything consistent while different members worked on separate parts. Through this project, I developed stronger leadership and project coordination skills, especially in managing collaboration within Google Sheets.
</t>
    </r>
    <r>
      <rPr>
        <rFont val="Calibri"/>
        <b/>
        <color theme="1"/>
      </rPr>
      <t>2. Aaron Jan Rafael Malda – Data Entry &amp; Cleaning</t>
    </r>
    <r>
      <rPr>
        <rFont val="Calibri"/>
        <color theme="1"/>
      </rPr>
      <t xml:space="preserve">
As the Data Entry &amp; Cleaning specialist, I designed the dataset structure with more than eight columns and encoded the initial raw data. I ensured the data was clean, properly formatted, and realistic based on the scenario. A challenge I encountered was maintaining consistency in formatting and avoiding duplicate or incorrect entries. I learned how important data validation and organization are in building reliable spreadsheets.
</t>
    </r>
    <r>
      <rPr>
        <rFont val="Calibri"/>
        <b/>
        <color theme="1"/>
      </rPr>
      <t>3. Dan Gabriel Jaraplasan – Formula &amp; Logic Specialist</t>
    </r>
    <r>
      <rPr>
        <rFont val="Calibri"/>
        <color theme="1"/>
      </rPr>
      <t xml:space="preserve">
As the Formula &amp; Logic Specialist, I implemented key formulas such as SUM, AVERAGE, VLOOKUP, and nested IF statements. My role was to ensure that calculations were accurate and that automated logic worked correctly across sheets. One challenge was troubleshooting errors caused by incorrect references or syntax issues. I improved my understanding of advanced spreadsheet functions and logical structuring.
</t>
    </r>
    <r>
      <rPr>
        <rFont val="Calibri"/>
        <b/>
        <color theme="1"/>
      </rPr>
      <t>4. Gaius Vincent Delos Reyes – Pivot &amp; Analysis Specialist</t>
    </r>
    <r>
      <rPr>
        <rFont val="Calibri"/>
        <color theme="1"/>
      </rPr>
      <t xml:space="preserve">
As the Pivot &amp; Analysis Specialist, I created the Analytics Summary sheet and built pivot tables to summarize the dataset. I analyzed totals per category and officer to provide meaningful insights. A challenge I faced was ensuring the pivot tables updated correctly with the dataset. I learned how to transform raw data into summarized insights for decision-making.
</t>
    </r>
    <r>
      <rPr>
        <rFont val="Calibri"/>
        <b/>
        <color theme="1"/>
      </rPr>
      <t>5. Jama Paolo Sariol – Dashboard Designer</t>
    </r>
    <r>
      <rPr>
        <rFont val="Calibri"/>
        <color theme="1"/>
      </rPr>
      <t xml:space="preserve">
As the Dashboard Designer, I developed the visual layout and core charts for the Dashboard sheet. I ensured that the charts were clear, readable, and visually aligned with the summary metrics. One challenge was selecting the appropriate chart types to best represent the data. I learned how data visualization improves understanding and presentation quality.
</t>
    </r>
    <r>
      <rPr>
        <rFont val="Calibri"/>
        <b/>
        <color theme="1"/>
      </rPr>
      <t>6. Jay Fuentes – Quality Assurance (QA)</t>
    </r>
    <r>
      <rPr>
        <rFont val="Calibri"/>
        <color theme="1"/>
      </rPr>
      <t xml:space="preserve">
As the Quality Assurance member, I reviewed formulas, checked for errors, and ensured consistency across all sheets. I carefully examined calculations, formatting, and summary outputs to prevent mistakes. One challenge was identifying hidden formula errors that did not immediately show obvious issues. I strengthened my attention to detail and error-checking skills.
</t>
    </r>
    <r>
      <rPr>
        <rFont val="Calibri"/>
        <b/>
        <color theme="1"/>
      </rPr>
      <t>7. Marc Reil Bujawwe – Assistant Data Specialist</t>
    </r>
    <r>
      <rPr>
        <rFont val="Calibri"/>
        <color theme="1"/>
      </rPr>
      <t xml:space="preserve">
As the Assistant Data Specialist, I helped generate 60 rows of realistic event data for the dataset. I ensured that the entries matched the project scenario and maintained logical consistency. A challenge I faced was balancing realism with variation in the data. I learned how structured datasets improve analysis and reporting accuracy.
</t>
    </r>
    <r>
      <rPr>
        <rFont val="Calibri"/>
        <b/>
        <color theme="1"/>
      </rPr>
      <t>8. Prince Audi Baldonado – Assistant Formula Tech</t>
    </r>
    <r>
      <rPr>
        <rFont val="Calibri"/>
        <color theme="1"/>
      </rPr>
      <t xml:space="preserve">
As the Assistant Formula Tech, I supported the implementation of complex formulas and verified that no error flags appeared in the sheet. I assisted in debugging nested IF statements and lookup functions. A challenge was understanding how different formulas interacted with each other. I gained deeper knowledge in troubleshooting spreadsheet logic.
</t>
    </r>
    <r>
      <rPr>
        <rFont val="Calibri"/>
        <b/>
        <color theme="1"/>
      </rPr>
      <t>9. Yuri Banaag – Assistant Visual Designer</t>
    </r>
    <r>
      <rPr>
        <rFont val="Calibri"/>
        <color theme="1"/>
      </rPr>
      <t xml:space="preserve">
As the Assistant Visual Designer, I helped refine the dashboard’s formatting, color palette, and visual presentation. I ensured charts were labeled properly and aligned with summary metrics. One challenge was maintaining visual consistency while keeping the dashboard professional. I learned how design principles enhance clarity in data reporting.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</si>
</sst>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0"/>
  </numFmts>
  <fonts count="5">
    <font>
      <sz val="11.0"/>
      <color theme="1"/>
      <name val="Calibri"/>
      <scheme val="minor"/>
    </font>
    <font>
      <b/>
      <sz val="11.0"/>
      <color theme="1"/>
      <name val="Calibri"/>
    </font>
    <font>
      <color theme="1"/>
      <name val="Calibri"/>
      <scheme val="minor"/>
    </font>
    <font>
      <sz val="11.0"/>
      <color theme="1"/>
      <name val="Calibri"/>
    </font>
    <font>
      <b/>
      <color theme="1"/>
      <name val="Calibri"/>
      <scheme val="minor"/>
    </font>
  </fonts>
  <fills count="4">
    <fill>
      <patternFill patternType="none"/>
    </fill>
    <fill>
      <patternFill patternType="lightGray"/>
    </fill>
    <fill>
      <patternFill patternType="solid">
        <fgColor rgb="FF3D85C6"/>
        <bgColor rgb="FF3D85C6"/>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3" numFmtId="164" xfId="0" applyAlignment="1" applyFont="1" applyNumberFormat="1">
      <alignment shrinkToFit="0" vertical="center" wrapText="0"/>
    </xf>
    <xf borderId="0" fillId="0" fontId="1" numFmtId="0" xfId="0" applyFont="1"/>
    <xf borderId="0" fillId="0" fontId="2" numFmtId="0" xfId="0" applyFont="1"/>
    <xf borderId="0" fillId="0" fontId="2" numFmtId="165" xfId="0" applyFont="1" applyNumberFormat="1"/>
    <xf borderId="0" fillId="0" fontId="2" numFmtId="165" xfId="0" applyFont="1" applyNumberFormat="1"/>
    <xf borderId="1" fillId="0" fontId="4" numFmtId="0" xfId="0" applyBorder="1" applyFont="1"/>
    <xf borderId="1" fillId="0" fontId="2" numFmtId="0" xfId="0" applyBorder="1" applyFont="1"/>
    <xf borderId="1" fillId="2" fontId="4" numFmtId="0" xfId="0" applyBorder="1" applyFill="1" applyFont="1"/>
    <xf borderId="1" fillId="2" fontId="2" numFmtId="0" xfId="0" applyBorder="1" applyFont="1"/>
    <xf borderId="1" fillId="3" fontId="4" numFmtId="0" xfId="0" applyBorder="1" applyFill="1" applyFont="1"/>
    <xf borderId="1" fillId="3" fontId="2" numFmtId="0" xfId="0" applyBorder="1" applyFont="1"/>
    <xf borderId="0" fillId="0" fontId="2" numFmtId="0" xfId="0" applyAlignment="1" applyFont="1">
      <alignment readingOrder="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s>
  <tableStyles count="4">
    <tableStyle count="4" pivot="0" name="Dataset-style">
      <tableStyleElement dxfId="1" type="headerRow"/>
      <tableStyleElement dxfId="2" type="firstRowStripe"/>
      <tableStyleElement dxfId="3" type="secondRowStripe"/>
      <tableStyleElement dxfId="4" size="0" type="wholeTable"/>
    </tableStyle>
    <tableStyle count="4" pivot="0" name="VendorLookup-style">
      <tableStyleElement dxfId="1" type="headerRow"/>
      <tableStyleElement dxfId="2" type="firstRowStripe"/>
      <tableStyleElement dxfId="3" type="secondRowStripe"/>
      <tableStyleElement dxfId="4" size="0" type="wholeTable"/>
    </tableStyle>
    <tableStyle count="3" pivot="0" name="Dashboard-style">
      <tableStyleElement dxfId="5" type="headerRow"/>
      <tableStyleElement dxfId="2" type="firstRowStripe"/>
      <tableStyleElement dxfId="6" type="secondRowStripe"/>
    </tableStyle>
    <tableStyle count="3" pivot="0" name="Dashboard-style 2">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Actual Cost by Category</a:t>
            </a:r>
          </a:p>
        </c:rich>
      </c:tx>
      <c:overlay val="0"/>
    </c:title>
    <c:plotArea>
      <c:layout/>
      <c:barChart>
        <c:barDir val="col"/>
        <c:ser>
          <c:idx val="0"/>
          <c:order val="0"/>
          <c:tx>
            <c:v>Total Actual Cost</c:v>
          </c:tx>
          <c:spPr>
            <a:solidFill>
              <a:schemeClr val="accent1"/>
            </a:solidFill>
            <a:ln cmpd="sng">
              <a:solidFill>
                <a:srgbClr val="000000"/>
              </a:solidFill>
            </a:ln>
          </c:spPr>
          <c:cat>
            <c:strRef>
              <c:f>'Analytics Summary'!$A$4:$A$8</c:f>
            </c:strRef>
          </c:cat>
          <c:val>
            <c:numRef>
              <c:f>'Analytics Summary'!$B$4:$B$8</c:f>
              <c:numCache/>
            </c:numRef>
          </c:val>
        </c:ser>
        <c:axId val="482577257"/>
        <c:axId val="465993285"/>
      </c:barChart>
      <c:catAx>
        <c:axId val="482577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465993285"/>
      </c:catAx>
      <c:valAx>
        <c:axId val="46599328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mn-lt"/>
              </a:defRPr>
            </a:pPr>
          </a:p>
        </c:txPr>
        <c:crossAx val="482577257"/>
      </c:valAx>
    </c:plotArea>
    <c:legend>
      <c:legendPos val="r"/>
      <c:overlay val="0"/>
      <c:txPr>
        <a:bodyPr/>
        <a:lstStyle/>
        <a:p>
          <a:pPr lvl="0">
            <a:defRPr b="0" i="0" sz="10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Payment Status Distribution</a:t>
            </a:r>
          </a:p>
        </c:rich>
      </c:tx>
      <c:overlay val="0"/>
    </c:title>
    <c:plotArea>
      <c:layout/>
      <c:pieChart>
        <c:varyColors val="1"/>
        <c:ser>
          <c:idx val="0"/>
          <c:order val="0"/>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Dashboard!$A$6:$A$7</c:f>
            </c:strRef>
          </c:cat>
          <c:val>
            <c:numRef>
              <c:f>Dashboard!$B$6:$B$7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Monthly Spending Trend</a:t>
            </a:r>
          </a:p>
        </c:rich>
      </c:tx>
      <c:overlay val="0"/>
    </c:title>
    <c:plotArea>
      <c:layout/>
      <c:lineChart>
        <c:varyColors val="0"/>
        <c:ser>
          <c:idx val="0"/>
          <c:order val="0"/>
          <c:tx>
            <c:v>Total Spending</c:v>
          </c:tx>
          <c:spPr>
            <a:ln cmpd="sng" w="28575">
              <a:solidFill>
                <a:schemeClr val="accent1"/>
              </a:solidFill>
              <a:prstDash val="solid"/>
            </a:ln>
          </c:spPr>
          <c:marker>
            <c:symbol val="none"/>
          </c:marker>
          <c:cat>
            <c:strRef>
              <c:f>Dashboard!$A$11:$A$16</c:f>
            </c:strRef>
          </c:cat>
          <c:val>
            <c:numRef>
              <c:f>Dashboard!$B$11:$B$16</c:f>
              <c:numCache/>
            </c:numRef>
          </c:val>
          <c:smooth val="1"/>
        </c:ser>
        <c:axId val="1906916889"/>
        <c:axId val="1197987864"/>
      </c:lineChart>
      <c:catAx>
        <c:axId val="19069168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1197987864"/>
      </c:catAx>
      <c:valAx>
        <c:axId val="1197987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mn-lt"/>
              </a:defRPr>
            </a:pPr>
          </a:p>
        </c:txPr>
        <c:crossAx val="1906916889"/>
      </c:valAx>
    </c:plotArea>
    <c:legend>
      <c:legendPos val="r"/>
      <c:overlay val="0"/>
      <c:txPr>
        <a:bodyPr/>
        <a:lstStyle/>
        <a:p>
          <a:pPr lvl="0">
            <a:defRPr b="0" i="0" sz="10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228600</xdr:colOff>
      <xdr:row>0</xdr:row>
      <xdr:rowOff>0</xdr:rowOff>
    </xdr:from>
    <xdr:ext cx="5391150" cy="2590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228600</xdr:colOff>
      <xdr:row>14</xdr:row>
      <xdr:rowOff>114300</xdr:rowOff>
    </xdr:from>
    <xdr:ext cx="5391150" cy="2590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228600</xdr:colOff>
      <xdr:row>29</xdr:row>
      <xdr:rowOff>38100</xdr:rowOff>
    </xdr:from>
    <xdr:ext cx="5391150" cy="2590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o Grande" id="{496ca7ef-bff5-479f-ab05-878e08939f20}" providerId="google-sheets"/>
  <x18tc:person displayName="Jama Paolo Sariol" id="{45938df6-6338-43d8-9ff4-953430c11b2b}" providerId="google-sheets"/>
  <x18tc:person displayName="Dan Gabriel Jaraplasan" id="{0c0be50e-df8a-4e69-ae8c-5d0729b29ee6}" providerId="google-sheets"/>
  <x18tc:person displayName="Aaron Jan Rafael Malda" id="{78b0d273-d1da-4ba9-9f62-cfde8048a98e}" providerId="google-sheets"/>
  <x18tc:person displayName="Yuri Banaag" id="{5230aa6d-9481-4a0b-8c2b-c3060709e8ad}" providerId="google-sheets"/>
</x18tc:personList>
</file>

<file path=xl/tables/table1.xml><?xml version="1.0" encoding="utf-8"?>
<table xmlns="http://schemas.openxmlformats.org/spreadsheetml/2006/main" ref="A1:J61" displayName="Budget_Details" name="Budget_Details" id="1">
  <tableColumns count="10">
    <tableColumn name="Expense Category" id="1"/>
    <tableColumn name="Estimated Cost" id="2"/>
    <tableColumn name="Actual Cost" id="3"/>
    <tableColumn name="Payment Status" id="4"/>
    <tableColumn name="Vendor" id="5"/>
    <tableColumn name="Event Date" id="6"/>
    <tableColumn name="Responsible Officer" id="7"/>
    <tableColumn name="Budget Variance" id="8"/>
    <tableColumn name="Budget Status" id="9"/>
    <tableColumn name="Vendor Type (Lookup)" id="10"/>
  </tableColumns>
  <tableStyleInfo name="Dataset-style" showColumnStripes="0" showFirstColumn="1" showLastColumn="1" showRowStripes="1"/>
</table>
</file>

<file path=xl/tables/table2.xml><?xml version="1.0" encoding="utf-8"?>
<table xmlns="http://schemas.openxmlformats.org/spreadsheetml/2006/main" ref="A1:B5" displayName="Vendor_Details" name="Vendor_Details" id="2">
  <tableColumns count="2">
    <tableColumn name="Vendor" id="1"/>
    <tableColumn name="Vendor Type" id="2"/>
  </tableColumns>
  <tableStyleInfo name="VendorLookup-style" showColumnStripes="0" showFirstColumn="1" showLastColumn="1" showRowStripes="1"/>
</table>
</file>

<file path=xl/tables/table3.xml><?xml version="1.0" encoding="utf-8"?>
<table xmlns="http://schemas.openxmlformats.org/spreadsheetml/2006/main" headerRowCount="0" ref="A1:B4" displayName="Table_1" name="Table_1" id="3">
  <tableColumns count="2">
    <tableColumn name="Column1" id="1"/>
    <tableColumn name="Column2" id="2"/>
  </tableColumns>
  <tableStyleInfo name="Dashboard-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0:B16" displayName="Table_2" name="Table_2" id="4">
  <tableColumns count="2">
    <tableColumn name="Month" id="1"/>
    <tableColumn name="Total Spending" id="2"/>
  </tableColumns>
  <tableStyleInfo name="Dashboar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3-03T12:42:15.00" personId="{496ca7ef-bff5-479f-ab05-878e08939f20}" id="{b1a5c3bb-39ee-4e97-9727-6a4dacd23a8a}" done="0">
    <x18tc:text xml:space="preserve">Checked that headers are complete and properly formatted.
-Project Manager (Mico Grande)</x18tc:text>
  </x18tc:threadedComment>
  <x18tc:threadedComment ref="A1" dT="2026-03-03T13:19:06.00" personId="{78b0d273-d1da-4ba9-9f62-cfde8048a98e}" id="{b341b6a4-1a92-4966-b16c-dff46bdcaf21}" done="0">
    <x18tc:text xml:space="preserve">Added headers and formatted the table. - Aaron Jan Rafael L. Malda</x18tc:text>
  </x18tc:threadedComment>
  <x18tc:threadedComment ref="I1" dT="2026-03-03T12:29:00.00" personId="{0c0be50e-df8a-4e69-ae8c-5d0729b29ee6}" id="{2e1cd3f7-baec-4299-aec6-05642ed24f18}" done="0">
    <x18tc:text xml:space="preserve">Added budget status logic to the whole column - Dan Jaraplasan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3-03T12:44:34.00" personId="{496ca7ef-bff5-479f-ab05-878e08939f20}" id="{ff374ca3-9e44-4cb0-9185-ac0b9d57677b}" done="0">
    <x18tc:text xml:space="preserve">Ensured table is formatted properly for reference use.
Project Manager (Mico Grande)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3-03T12:48:42.00" personId="{0c0be50e-df8a-4e69-ae8c-5d0729b29ee6}" id="{ffc8dc2d-c7aa-4a79-b360-d17383f2d3ad}" done="0">
    <x18tc:text xml:space="preserve">Added Formula and number formatting - Dan Jaraplasan</x18tc:text>
  </x18tc:threadedComment>
  <x18tc:threadedComment ref="E3" dT="2026-03-03T12:48:37.00" personId="{0c0be50e-df8a-4e69-ae8c-5d0729b29ee6}" id="{d9d6a5e5-4a15-437c-a4ca-7912d99eff88}" done="0">
    <x18tc:text xml:space="preserve">Added Formula and number formatting - Dan Jaraplasan</x18tc:text>
  </x18tc:threadedComment>
  <x18tc:threadedComment ref="B13" dT="2026-03-03T12:48:47.00" personId="{0c0be50e-df8a-4e69-ae8c-5d0729b29ee6}" id="{35d71491-0168-431f-95da-209733fbf989}" done="0">
    <x18tc:text xml:space="preserve">Added Formula and number formatting - Dan Jaraplasan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3T14:07:04.00" personId="{45938df6-6338-43d8-9ff4-953430c11b2b}" id="{c1e7ccf6-3d31-4a23-a38f-9036097c2ad7}" done="0">
    <x18tc:text xml:space="preserve">updated dashboard layout - Jama Sariol</x18tc:text>
  </x18tc:threadedComment>
  <x18tc:threadedComment ref="C20" dT="2026-03-03T12:54:56.00" personId="{5230aa6d-9481-4a0b-8c2b-c3060709e8ad}" id="{6ad9f870-a1dd-4eb2-a199-eecd8566b23b}" done="0">
    <x18tc:text xml:space="preserve">Created pie chart for Payment Status; verified counts and labels.
Assistant Visual Designer (Yuri Banaag)</x18tc:text>
  </x18tc:threadedComment>
  <x18tc:threadedComment ref="C35" dT="2026-03-03T12:54:21.00" personId="{5230aa6d-9481-4a0b-8c2b-c3060709e8ad}" id="{c094c0d9-4349-4abf-875f-5fba4f3f202e}" done="0">
    <x18tc:text xml:space="preserve">Added line chart for Monthly Spending Trend; confirmed data matches scenario.
Assistant Visual Designer (Yuri Banaag)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9" Type="http://schemas.openxmlformats.org/officeDocument/2006/relationships/table" Target="../tables/table4.xml"/><Relationship Id="rId5" Type="http://schemas.openxmlformats.org/officeDocument/2006/relationships/vmlDrawing" Target="../drawings/vmlDrawing4.v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2" width="28.71"/>
    <col customWidth="1" min="3" max="3" width="24.0"/>
    <col customWidth="1" min="4" max="4" width="28.14"/>
    <col customWidth="1" min="5" max="5" width="23.29"/>
    <col customWidth="1" min="6" max="6" width="29.86"/>
    <col customWidth="1" min="7" max="7" width="23.43"/>
    <col customWidth="1" min="8" max="8" width="20.43"/>
    <col customWidth="1" min="9" max="9" width="27.71"/>
    <col customWidth="1" min="10" max="10" width="25.29"/>
    <col customWidth="1" min="11" max="26" width="9.0"/>
  </cols>
  <sheetData>
    <row r="1" ht="14.25" customHeight="1">
      <c r="A1" s="1" t="s">
        <v>0</v>
      </c>
      <c r="B1" s="1" t="s">
        <v>1</v>
      </c>
      <c r="C1" s="1" t="s">
        <v>2</v>
      </c>
      <c r="D1" s="1" t="s">
        <v>3</v>
      </c>
      <c r="E1" s="1" t="s">
        <v>4</v>
      </c>
      <c r="F1" s="1" t="s">
        <v>5</v>
      </c>
      <c r="G1" s="1" t="s">
        <v>6</v>
      </c>
      <c r="H1" s="1" t="s">
        <v>7</v>
      </c>
      <c r="I1" s="1" t="s">
        <v>8</v>
      </c>
      <c r="J1" s="1" t="s">
        <v>9</v>
      </c>
    </row>
    <row r="2" ht="14.25" customHeight="1">
      <c r="A2" s="2" t="s">
        <v>10</v>
      </c>
      <c r="B2" s="2">
        <v>16503.0</v>
      </c>
      <c r="C2" s="2">
        <v>15232.0</v>
      </c>
      <c r="D2" s="2" t="s">
        <v>11</v>
      </c>
      <c r="E2" s="2" t="s">
        <v>12</v>
      </c>
      <c r="F2" s="3">
        <v>45705.0</v>
      </c>
      <c r="G2" s="2" t="s">
        <v>13</v>
      </c>
      <c r="H2" s="2">
        <f t="shared" ref="H2:H61" si="1">C2-B2</f>
        <v>-1271</v>
      </c>
      <c r="I2" s="2" t="str">
        <f t="shared" ref="I2:I61" si="2">IF(C2&gt;B2, IF(D2="Paid", "⚠️ Over Budget", "🚨 Over Budget"), "✅ Within Budget")</f>
        <v>✅ Within Budget</v>
      </c>
      <c r="J2" s="2" t="str">
        <f>VLOOKUP(E2,VendorLookup!A2:B5,2,FALSE)</f>
        <v>Venue Provider</v>
      </c>
    </row>
    <row r="3" ht="14.25" customHeight="1">
      <c r="A3" s="2" t="s">
        <v>10</v>
      </c>
      <c r="B3" s="2">
        <v>10166.0</v>
      </c>
      <c r="C3" s="2">
        <v>9436.0</v>
      </c>
      <c r="D3" s="2" t="s">
        <v>14</v>
      </c>
      <c r="E3" s="2" t="s">
        <v>15</v>
      </c>
      <c r="F3" s="3">
        <v>45664.0</v>
      </c>
      <c r="G3" s="2" t="s">
        <v>16</v>
      </c>
      <c r="H3" s="2">
        <f t="shared" si="1"/>
        <v>-730</v>
      </c>
      <c r="I3" s="2" t="str">
        <f t="shared" si="2"/>
        <v>✅ Within Budget</v>
      </c>
      <c r="J3" s="2" t="str">
        <f>VLOOKUP(E3,VendorLookup!A2:B5,2,FALSE)</f>
        <v>Food Services</v>
      </c>
    </row>
    <row r="4" ht="14.25" customHeight="1">
      <c r="A4" s="2" t="s">
        <v>10</v>
      </c>
      <c r="B4" s="2">
        <v>18509.0</v>
      </c>
      <c r="C4" s="2">
        <v>22043.0</v>
      </c>
      <c r="D4" s="2" t="s">
        <v>11</v>
      </c>
      <c r="E4" s="2" t="s">
        <v>17</v>
      </c>
      <c r="F4" s="3">
        <v>45738.0</v>
      </c>
      <c r="G4" s="2" t="s">
        <v>18</v>
      </c>
      <c r="H4" s="2">
        <f t="shared" si="1"/>
        <v>3534</v>
      </c>
      <c r="I4" s="2" t="str">
        <f t="shared" si="2"/>
        <v>⚠️ Over Budget</v>
      </c>
      <c r="J4" s="2" t="str">
        <f>VLOOKUP(E4,VendorLookup!A2:B5,2,FALSE)</f>
        <v>Marketing Agency</v>
      </c>
    </row>
    <row r="5" ht="14.25" customHeight="1">
      <c r="A5" s="2" t="s">
        <v>19</v>
      </c>
      <c r="B5" s="2">
        <v>10099.0</v>
      </c>
      <c r="C5" s="2">
        <v>12396.0</v>
      </c>
      <c r="D5" s="2" t="s">
        <v>11</v>
      </c>
      <c r="E5" s="2" t="s">
        <v>17</v>
      </c>
      <c r="F5" s="3">
        <v>45724.0</v>
      </c>
      <c r="G5" s="2" t="s">
        <v>20</v>
      </c>
      <c r="H5" s="2">
        <f t="shared" si="1"/>
        <v>2297</v>
      </c>
      <c r="I5" s="2" t="str">
        <f t="shared" si="2"/>
        <v>⚠️ Over Budget</v>
      </c>
      <c r="J5" s="2" t="str">
        <f>VLOOKUP(E5,VendorLookup!A2:B5,2,FALSE)</f>
        <v>Marketing Agency</v>
      </c>
    </row>
    <row r="6" ht="14.25" customHeight="1">
      <c r="A6" s="2" t="s">
        <v>21</v>
      </c>
      <c r="B6" s="2">
        <v>13133.0</v>
      </c>
      <c r="C6" s="2">
        <v>13745.0</v>
      </c>
      <c r="D6" s="2" t="s">
        <v>11</v>
      </c>
      <c r="E6" s="2" t="s">
        <v>12</v>
      </c>
      <c r="F6" s="3">
        <v>45695.0</v>
      </c>
      <c r="G6" s="2" t="s">
        <v>13</v>
      </c>
      <c r="H6" s="2">
        <f t="shared" si="1"/>
        <v>612</v>
      </c>
      <c r="I6" s="2" t="str">
        <f t="shared" si="2"/>
        <v>⚠️ Over Budget</v>
      </c>
      <c r="J6" s="2" t="str">
        <f>VLOOKUP(E6,VendorLookup!A2:B5,2,FALSE)</f>
        <v>Venue Provider</v>
      </c>
    </row>
    <row r="7" ht="14.25" customHeight="1">
      <c r="A7" s="2" t="s">
        <v>19</v>
      </c>
      <c r="B7" s="2">
        <v>17878.0</v>
      </c>
      <c r="C7" s="2">
        <v>19651.0</v>
      </c>
      <c r="D7" s="2" t="s">
        <v>11</v>
      </c>
      <c r="E7" s="2" t="s">
        <v>17</v>
      </c>
      <c r="F7" s="3">
        <v>45753.0</v>
      </c>
      <c r="G7" s="2" t="s">
        <v>13</v>
      </c>
      <c r="H7" s="2">
        <f t="shared" si="1"/>
        <v>1773</v>
      </c>
      <c r="I7" s="2" t="str">
        <f t="shared" si="2"/>
        <v>⚠️ Over Budget</v>
      </c>
      <c r="J7" s="2" t="str">
        <f>VLOOKUP(E7,VendorLookup!A2:B5,2,FALSE)</f>
        <v>Marketing Agency</v>
      </c>
    </row>
    <row r="8" ht="14.25" customHeight="1">
      <c r="A8" s="2" t="s">
        <v>19</v>
      </c>
      <c r="B8" s="2">
        <v>12422.0</v>
      </c>
      <c r="C8" s="2">
        <v>9492.0</v>
      </c>
      <c r="D8" s="2" t="s">
        <v>11</v>
      </c>
      <c r="E8" s="2" t="s">
        <v>15</v>
      </c>
      <c r="F8" s="3">
        <v>45729.0</v>
      </c>
      <c r="G8" s="2" t="s">
        <v>20</v>
      </c>
      <c r="H8" s="2">
        <f t="shared" si="1"/>
        <v>-2930</v>
      </c>
      <c r="I8" s="2" t="str">
        <f t="shared" si="2"/>
        <v>✅ Within Budget</v>
      </c>
      <c r="J8" s="2" t="str">
        <f>VLOOKUP(E8,VendorLookup!A2:B5,2,FALSE)</f>
        <v>Food Services</v>
      </c>
    </row>
    <row r="9" ht="14.25" customHeight="1">
      <c r="A9" s="2" t="s">
        <v>19</v>
      </c>
      <c r="B9" s="2">
        <v>9824.0</v>
      </c>
      <c r="C9" s="2">
        <v>8644.0</v>
      </c>
      <c r="D9" s="2" t="s">
        <v>11</v>
      </c>
      <c r="E9" s="2" t="s">
        <v>22</v>
      </c>
      <c r="F9" s="3">
        <v>45750.0</v>
      </c>
      <c r="G9" s="2" t="s">
        <v>20</v>
      </c>
      <c r="H9" s="2">
        <f t="shared" si="1"/>
        <v>-1180</v>
      </c>
      <c r="I9" s="2" t="str">
        <f t="shared" si="2"/>
        <v>✅ Within Budget</v>
      </c>
      <c r="J9" s="2" t="str">
        <f>VLOOKUP(E9,VendorLookup!A2:B5,2,FALSE)</f>
        <v>Equipment Supplier</v>
      </c>
    </row>
    <row r="10" ht="14.25" customHeight="1">
      <c r="A10" s="2" t="s">
        <v>10</v>
      </c>
      <c r="B10" s="2">
        <v>8030.0</v>
      </c>
      <c r="C10" s="2">
        <v>11357.0</v>
      </c>
      <c r="D10" s="2" t="s">
        <v>14</v>
      </c>
      <c r="E10" s="2" t="s">
        <v>12</v>
      </c>
      <c r="F10" s="3">
        <v>45730.0</v>
      </c>
      <c r="G10" s="2" t="s">
        <v>13</v>
      </c>
      <c r="H10" s="2">
        <f t="shared" si="1"/>
        <v>3327</v>
      </c>
      <c r="I10" s="2" t="str">
        <f t="shared" si="2"/>
        <v>🚨 Over Budget</v>
      </c>
      <c r="J10" s="2" t="str">
        <f>VLOOKUP(E10,VendorLookup!A2:B5,2,FALSE)</f>
        <v>Venue Provider</v>
      </c>
    </row>
    <row r="11" ht="14.25" customHeight="1">
      <c r="A11" s="2" t="s">
        <v>23</v>
      </c>
      <c r="B11" s="2">
        <v>16042.0</v>
      </c>
      <c r="C11" s="2">
        <v>19901.0</v>
      </c>
      <c r="D11" s="2" t="s">
        <v>11</v>
      </c>
      <c r="E11" s="2" t="s">
        <v>22</v>
      </c>
      <c r="F11" s="3">
        <v>45818.0</v>
      </c>
      <c r="G11" s="2" t="s">
        <v>13</v>
      </c>
      <c r="H11" s="2">
        <f t="shared" si="1"/>
        <v>3859</v>
      </c>
      <c r="I11" s="2" t="str">
        <f t="shared" si="2"/>
        <v>⚠️ Over Budget</v>
      </c>
      <c r="J11" s="2" t="str">
        <f>VLOOKUP(E11,VendorLookup!A2:B5,2,FALSE)</f>
        <v>Equipment Supplier</v>
      </c>
    </row>
    <row r="12" ht="14.25" customHeight="1">
      <c r="A12" s="2" t="s">
        <v>23</v>
      </c>
      <c r="B12" s="2">
        <v>14766.0</v>
      </c>
      <c r="C12" s="2">
        <v>17121.0</v>
      </c>
      <c r="D12" s="2" t="s">
        <v>14</v>
      </c>
      <c r="E12" s="2" t="s">
        <v>22</v>
      </c>
      <c r="F12" s="3">
        <v>45723.0</v>
      </c>
      <c r="G12" s="2" t="s">
        <v>20</v>
      </c>
      <c r="H12" s="2">
        <f t="shared" si="1"/>
        <v>2355</v>
      </c>
      <c r="I12" s="2" t="str">
        <f t="shared" si="2"/>
        <v>🚨 Over Budget</v>
      </c>
      <c r="J12" s="2" t="str">
        <f>VLOOKUP(E12,VendorLookup!A2:B5,2,FALSE)</f>
        <v>Equipment Supplier</v>
      </c>
    </row>
    <row r="13" ht="14.25" customHeight="1">
      <c r="A13" s="2" t="s">
        <v>21</v>
      </c>
      <c r="B13" s="2">
        <v>12195.0</v>
      </c>
      <c r="C13" s="2">
        <v>15986.0</v>
      </c>
      <c r="D13" s="2" t="s">
        <v>11</v>
      </c>
      <c r="E13" s="2" t="s">
        <v>17</v>
      </c>
      <c r="F13" s="3">
        <v>45796.0</v>
      </c>
      <c r="G13" s="2" t="s">
        <v>13</v>
      </c>
      <c r="H13" s="2">
        <f t="shared" si="1"/>
        <v>3791</v>
      </c>
      <c r="I13" s="2" t="str">
        <f t="shared" si="2"/>
        <v>⚠️ Over Budget</v>
      </c>
      <c r="J13" s="2" t="str">
        <f>VLOOKUP(E13,VendorLookup!A2:B5,2,FALSE)</f>
        <v>Marketing Agency</v>
      </c>
    </row>
    <row r="14" ht="14.25" customHeight="1">
      <c r="A14" s="2" t="s">
        <v>21</v>
      </c>
      <c r="B14" s="2">
        <v>9794.0</v>
      </c>
      <c r="C14" s="2">
        <v>14224.0</v>
      </c>
      <c r="D14" s="2" t="s">
        <v>11</v>
      </c>
      <c r="E14" s="2" t="s">
        <v>15</v>
      </c>
      <c r="F14" s="3">
        <v>45807.0</v>
      </c>
      <c r="G14" s="2" t="s">
        <v>13</v>
      </c>
      <c r="H14" s="2">
        <f t="shared" si="1"/>
        <v>4430</v>
      </c>
      <c r="I14" s="2" t="str">
        <f t="shared" si="2"/>
        <v>⚠️ Over Budget</v>
      </c>
      <c r="J14" s="2" t="str">
        <f>VLOOKUP(E14,VendorLookup!A2:B5,2,FALSE)</f>
        <v>Food Services</v>
      </c>
    </row>
    <row r="15" ht="14.25" customHeight="1">
      <c r="A15" s="2" t="s">
        <v>24</v>
      </c>
      <c r="B15" s="2">
        <v>8999.0</v>
      </c>
      <c r="C15" s="2">
        <v>6325.0</v>
      </c>
      <c r="D15" s="2" t="s">
        <v>11</v>
      </c>
      <c r="E15" s="2" t="s">
        <v>12</v>
      </c>
      <c r="F15" s="3">
        <v>45803.0</v>
      </c>
      <c r="G15" s="2" t="s">
        <v>20</v>
      </c>
      <c r="H15" s="2">
        <f t="shared" si="1"/>
        <v>-2674</v>
      </c>
      <c r="I15" s="2" t="str">
        <f t="shared" si="2"/>
        <v>✅ Within Budget</v>
      </c>
      <c r="J15" s="2" t="str">
        <f>VLOOKUP(E15,VendorLookup!A2:B5,2,FALSE)</f>
        <v>Venue Provider</v>
      </c>
    </row>
    <row r="16" ht="14.25" customHeight="1">
      <c r="A16" s="2" t="s">
        <v>23</v>
      </c>
      <c r="B16" s="2">
        <v>5073.0</v>
      </c>
      <c r="C16" s="2">
        <v>6871.0</v>
      </c>
      <c r="D16" s="2" t="s">
        <v>14</v>
      </c>
      <c r="E16" s="2" t="s">
        <v>22</v>
      </c>
      <c r="F16" s="3">
        <v>45739.0</v>
      </c>
      <c r="G16" s="2" t="s">
        <v>13</v>
      </c>
      <c r="H16" s="2">
        <f t="shared" si="1"/>
        <v>1798</v>
      </c>
      <c r="I16" s="2" t="str">
        <f t="shared" si="2"/>
        <v>🚨 Over Budget</v>
      </c>
      <c r="J16" s="2" t="str">
        <f>VLOOKUP(E16,VendorLookup!A2:B5,2,FALSE)</f>
        <v>Equipment Supplier</v>
      </c>
    </row>
    <row r="17" ht="14.25" customHeight="1">
      <c r="A17" s="2" t="s">
        <v>19</v>
      </c>
      <c r="B17" s="2">
        <v>8723.0</v>
      </c>
      <c r="C17" s="2">
        <v>8659.0</v>
      </c>
      <c r="D17" s="2" t="s">
        <v>11</v>
      </c>
      <c r="E17" s="2" t="s">
        <v>12</v>
      </c>
      <c r="F17" s="3">
        <v>45745.0</v>
      </c>
      <c r="G17" s="2" t="s">
        <v>16</v>
      </c>
      <c r="H17" s="2">
        <f t="shared" si="1"/>
        <v>-64</v>
      </c>
      <c r="I17" s="2" t="str">
        <f t="shared" si="2"/>
        <v>✅ Within Budget</v>
      </c>
      <c r="J17" s="2" t="str">
        <f>VLOOKUP(E17,VendorLookup!A2:B5,2,FALSE)</f>
        <v>Venue Provider</v>
      </c>
    </row>
    <row r="18" ht="14.25" customHeight="1">
      <c r="A18" s="2" t="s">
        <v>19</v>
      </c>
      <c r="B18" s="2">
        <v>15320.0</v>
      </c>
      <c r="C18" s="2">
        <v>20268.0</v>
      </c>
      <c r="D18" s="2" t="s">
        <v>11</v>
      </c>
      <c r="E18" s="2" t="s">
        <v>12</v>
      </c>
      <c r="F18" s="3">
        <v>45679.0</v>
      </c>
      <c r="G18" s="2" t="s">
        <v>20</v>
      </c>
      <c r="H18" s="2">
        <f t="shared" si="1"/>
        <v>4948</v>
      </c>
      <c r="I18" s="2" t="str">
        <f t="shared" si="2"/>
        <v>⚠️ Over Budget</v>
      </c>
      <c r="J18" s="2" t="str">
        <f>VLOOKUP(E18,VendorLookup!A2:B5,2,FALSE)</f>
        <v>Venue Provider</v>
      </c>
    </row>
    <row r="19" ht="14.25" customHeight="1">
      <c r="A19" s="2" t="s">
        <v>23</v>
      </c>
      <c r="B19" s="2">
        <v>10516.0</v>
      </c>
      <c r="C19" s="2">
        <v>13668.0</v>
      </c>
      <c r="D19" s="2" t="s">
        <v>14</v>
      </c>
      <c r="E19" s="2" t="s">
        <v>17</v>
      </c>
      <c r="F19" s="3">
        <v>45790.0</v>
      </c>
      <c r="G19" s="2" t="s">
        <v>16</v>
      </c>
      <c r="H19" s="2">
        <f t="shared" si="1"/>
        <v>3152</v>
      </c>
      <c r="I19" s="2" t="str">
        <f t="shared" si="2"/>
        <v>🚨 Over Budget</v>
      </c>
      <c r="J19" s="2" t="str">
        <f>VLOOKUP(E19,VendorLookup!A2:B5,2,FALSE)</f>
        <v>Marketing Agency</v>
      </c>
    </row>
    <row r="20" ht="14.25" customHeight="1">
      <c r="A20" s="2" t="s">
        <v>19</v>
      </c>
      <c r="B20" s="2">
        <v>16538.0</v>
      </c>
      <c r="C20" s="2">
        <v>15256.0</v>
      </c>
      <c r="D20" s="2" t="s">
        <v>14</v>
      </c>
      <c r="E20" s="2" t="s">
        <v>15</v>
      </c>
      <c r="F20" s="3">
        <v>45716.0</v>
      </c>
      <c r="G20" s="2" t="s">
        <v>13</v>
      </c>
      <c r="H20" s="2">
        <f t="shared" si="1"/>
        <v>-1282</v>
      </c>
      <c r="I20" s="2" t="str">
        <f t="shared" si="2"/>
        <v>✅ Within Budget</v>
      </c>
      <c r="J20" s="2" t="str">
        <f>VLOOKUP(E20,VendorLookup!A2:B5,2,FALSE)</f>
        <v>Food Services</v>
      </c>
    </row>
    <row r="21" ht="14.25" customHeight="1">
      <c r="A21" s="2" t="s">
        <v>23</v>
      </c>
      <c r="B21" s="2">
        <v>8798.0</v>
      </c>
      <c r="C21" s="2">
        <v>13303.0</v>
      </c>
      <c r="D21" s="2" t="s">
        <v>14</v>
      </c>
      <c r="E21" s="2" t="s">
        <v>22</v>
      </c>
      <c r="F21" s="3">
        <v>45783.0</v>
      </c>
      <c r="G21" s="2" t="s">
        <v>18</v>
      </c>
      <c r="H21" s="2">
        <f t="shared" si="1"/>
        <v>4505</v>
      </c>
      <c r="I21" s="2" t="str">
        <f t="shared" si="2"/>
        <v>🚨 Over Budget</v>
      </c>
      <c r="J21" s="2" t="str">
        <f>VLOOKUP(E21,VendorLookup!A2:B5,2,FALSE)</f>
        <v>Equipment Supplier</v>
      </c>
    </row>
    <row r="22" ht="14.25" customHeight="1">
      <c r="A22" s="2" t="s">
        <v>24</v>
      </c>
      <c r="B22" s="2">
        <v>8258.0</v>
      </c>
      <c r="C22" s="2">
        <v>10098.0</v>
      </c>
      <c r="D22" s="2" t="s">
        <v>11</v>
      </c>
      <c r="E22" s="2" t="s">
        <v>12</v>
      </c>
      <c r="F22" s="3">
        <v>45658.0</v>
      </c>
      <c r="G22" s="2" t="s">
        <v>13</v>
      </c>
      <c r="H22" s="2">
        <f t="shared" si="1"/>
        <v>1840</v>
      </c>
      <c r="I22" s="2" t="str">
        <f t="shared" si="2"/>
        <v>⚠️ Over Budget</v>
      </c>
      <c r="J22" s="2" t="str">
        <f>VLOOKUP(E22,VendorLookup!A2:B5,2,FALSE)</f>
        <v>Venue Provider</v>
      </c>
    </row>
    <row r="23" ht="14.25" customHeight="1">
      <c r="A23" s="2" t="s">
        <v>10</v>
      </c>
      <c r="B23" s="2">
        <v>6013.0</v>
      </c>
      <c r="C23" s="2">
        <v>7958.0</v>
      </c>
      <c r="D23" s="2" t="s">
        <v>14</v>
      </c>
      <c r="E23" s="2" t="s">
        <v>15</v>
      </c>
      <c r="F23" s="3">
        <v>45780.0</v>
      </c>
      <c r="G23" s="2" t="s">
        <v>16</v>
      </c>
      <c r="H23" s="2">
        <f t="shared" si="1"/>
        <v>1945</v>
      </c>
      <c r="I23" s="2" t="str">
        <f t="shared" si="2"/>
        <v>🚨 Over Budget</v>
      </c>
      <c r="J23" s="2" t="str">
        <f>VLOOKUP(E23,VendorLookup!A2:B5,2,FALSE)</f>
        <v>Food Services</v>
      </c>
    </row>
    <row r="24" ht="14.25" customHeight="1">
      <c r="A24" s="2" t="s">
        <v>21</v>
      </c>
      <c r="B24" s="2">
        <v>17556.0</v>
      </c>
      <c r="C24" s="2">
        <v>20721.0</v>
      </c>
      <c r="D24" s="2" t="s">
        <v>11</v>
      </c>
      <c r="E24" s="2" t="s">
        <v>17</v>
      </c>
      <c r="F24" s="3">
        <v>45777.0</v>
      </c>
      <c r="G24" s="2" t="s">
        <v>18</v>
      </c>
      <c r="H24" s="2">
        <f t="shared" si="1"/>
        <v>3165</v>
      </c>
      <c r="I24" s="2" t="str">
        <f t="shared" si="2"/>
        <v>⚠️ Over Budget</v>
      </c>
      <c r="J24" s="2" t="str">
        <f>VLOOKUP(E24,VendorLookup!A2:B5,2,FALSE)</f>
        <v>Marketing Agency</v>
      </c>
    </row>
    <row r="25" ht="14.25" customHeight="1">
      <c r="A25" s="2" t="s">
        <v>23</v>
      </c>
      <c r="B25" s="2">
        <v>14884.0</v>
      </c>
      <c r="C25" s="2">
        <v>17320.0</v>
      </c>
      <c r="D25" s="2" t="s">
        <v>14</v>
      </c>
      <c r="E25" s="2" t="s">
        <v>22</v>
      </c>
      <c r="F25" s="3">
        <v>45676.0</v>
      </c>
      <c r="G25" s="2" t="s">
        <v>18</v>
      </c>
      <c r="H25" s="2">
        <f t="shared" si="1"/>
        <v>2436</v>
      </c>
      <c r="I25" s="2" t="str">
        <f t="shared" si="2"/>
        <v>🚨 Over Budget</v>
      </c>
      <c r="J25" s="2" t="str">
        <f>VLOOKUP(E25,VendorLookup!A2:B5,2,FALSE)</f>
        <v>Equipment Supplier</v>
      </c>
    </row>
    <row r="26" ht="14.25" customHeight="1">
      <c r="A26" s="2" t="s">
        <v>10</v>
      </c>
      <c r="B26" s="2">
        <v>10449.0</v>
      </c>
      <c r="C26" s="2">
        <v>12017.0</v>
      </c>
      <c r="D26" s="2" t="s">
        <v>11</v>
      </c>
      <c r="E26" s="2" t="s">
        <v>15</v>
      </c>
      <c r="F26" s="3">
        <v>45719.0</v>
      </c>
      <c r="G26" s="2" t="s">
        <v>16</v>
      </c>
      <c r="H26" s="2">
        <f t="shared" si="1"/>
        <v>1568</v>
      </c>
      <c r="I26" s="2" t="str">
        <f t="shared" si="2"/>
        <v>⚠️ Over Budget</v>
      </c>
      <c r="J26" s="2" t="str">
        <f>VLOOKUP(E26,VendorLookup!A2:B5,2,FALSE)</f>
        <v>Food Services</v>
      </c>
    </row>
    <row r="27" ht="14.25" customHeight="1">
      <c r="A27" s="2" t="s">
        <v>19</v>
      </c>
      <c r="B27" s="2">
        <v>15296.0</v>
      </c>
      <c r="C27" s="2">
        <v>14523.0</v>
      </c>
      <c r="D27" s="2" t="s">
        <v>14</v>
      </c>
      <c r="E27" s="2" t="s">
        <v>15</v>
      </c>
      <c r="F27" s="3">
        <v>45660.0</v>
      </c>
      <c r="G27" s="2" t="s">
        <v>20</v>
      </c>
      <c r="H27" s="2">
        <f t="shared" si="1"/>
        <v>-773</v>
      </c>
      <c r="I27" s="2" t="str">
        <f t="shared" si="2"/>
        <v>✅ Within Budget</v>
      </c>
      <c r="J27" s="2" t="str">
        <f>VLOOKUP(E27,VendorLookup!A2:B5,2,FALSE)</f>
        <v>Food Services</v>
      </c>
    </row>
    <row r="28" ht="14.25" customHeight="1">
      <c r="A28" s="2" t="s">
        <v>24</v>
      </c>
      <c r="B28" s="2">
        <v>10905.0</v>
      </c>
      <c r="C28" s="2">
        <v>10957.0</v>
      </c>
      <c r="D28" s="2" t="s">
        <v>14</v>
      </c>
      <c r="E28" s="2" t="s">
        <v>22</v>
      </c>
      <c r="F28" s="3">
        <v>45695.0</v>
      </c>
      <c r="G28" s="2" t="s">
        <v>13</v>
      </c>
      <c r="H28" s="2">
        <f t="shared" si="1"/>
        <v>52</v>
      </c>
      <c r="I28" s="2" t="str">
        <f t="shared" si="2"/>
        <v>🚨 Over Budget</v>
      </c>
      <c r="J28" s="2" t="str">
        <f>VLOOKUP(E28,VendorLookup!A2:B5,2,FALSE)</f>
        <v>Equipment Supplier</v>
      </c>
    </row>
    <row r="29" ht="14.25" customHeight="1">
      <c r="A29" s="2" t="s">
        <v>24</v>
      </c>
      <c r="B29" s="2">
        <v>11785.0</v>
      </c>
      <c r="C29" s="2">
        <v>15740.0</v>
      </c>
      <c r="D29" s="2" t="s">
        <v>11</v>
      </c>
      <c r="E29" s="2" t="s">
        <v>22</v>
      </c>
      <c r="F29" s="3">
        <v>45698.0</v>
      </c>
      <c r="G29" s="2" t="s">
        <v>16</v>
      </c>
      <c r="H29" s="2">
        <f t="shared" si="1"/>
        <v>3955</v>
      </c>
      <c r="I29" s="2" t="str">
        <f t="shared" si="2"/>
        <v>⚠️ Over Budget</v>
      </c>
      <c r="J29" s="2" t="str">
        <f>VLOOKUP(E29,VendorLookup!A2:B5,2,FALSE)</f>
        <v>Equipment Supplier</v>
      </c>
    </row>
    <row r="30" ht="14.25" customHeight="1">
      <c r="A30" s="2" t="s">
        <v>19</v>
      </c>
      <c r="B30" s="2">
        <v>17927.0</v>
      </c>
      <c r="C30" s="2">
        <v>15130.0</v>
      </c>
      <c r="D30" s="2" t="s">
        <v>11</v>
      </c>
      <c r="E30" s="2" t="s">
        <v>12</v>
      </c>
      <c r="F30" s="3">
        <v>45796.0</v>
      </c>
      <c r="G30" s="2" t="s">
        <v>16</v>
      </c>
      <c r="H30" s="2">
        <f t="shared" si="1"/>
        <v>-2797</v>
      </c>
      <c r="I30" s="2" t="str">
        <f t="shared" si="2"/>
        <v>✅ Within Budget</v>
      </c>
      <c r="J30" s="2" t="str">
        <f>VLOOKUP(E30,VendorLookup!A2:B5,2,FALSE)</f>
        <v>Venue Provider</v>
      </c>
    </row>
    <row r="31" ht="14.25" customHeight="1">
      <c r="A31" s="2" t="s">
        <v>19</v>
      </c>
      <c r="B31" s="2">
        <v>5198.0</v>
      </c>
      <c r="C31" s="2">
        <v>8704.0</v>
      </c>
      <c r="D31" s="2" t="s">
        <v>11</v>
      </c>
      <c r="E31" s="2" t="s">
        <v>22</v>
      </c>
      <c r="F31" s="3">
        <v>45785.0</v>
      </c>
      <c r="G31" s="2" t="s">
        <v>18</v>
      </c>
      <c r="H31" s="2">
        <f t="shared" si="1"/>
        <v>3506</v>
      </c>
      <c r="I31" s="2" t="str">
        <f t="shared" si="2"/>
        <v>⚠️ Over Budget</v>
      </c>
      <c r="J31" s="2" t="str">
        <f>VLOOKUP(E31,VendorLookup!A2:B5,2,FALSE)</f>
        <v>Equipment Supplier</v>
      </c>
    </row>
    <row r="32" ht="14.25" customHeight="1">
      <c r="A32" s="2" t="s">
        <v>21</v>
      </c>
      <c r="B32" s="2">
        <v>16006.0</v>
      </c>
      <c r="C32" s="2">
        <v>20884.0</v>
      </c>
      <c r="D32" s="2" t="s">
        <v>14</v>
      </c>
      <c r="E32" s="2" t="s">
        <v>22</v>
      </c>
      <c r="F32" s="3">
        <v>45802.0</v>
      </c>
      <c r="G32" s="2" t="s">
        <v>13</v>
      </c>
      <c r="H32" s="2">
        <f t="shared" si="1"/>
        <v>4878</v>
      </c>
      <c r="I32" s="2" t="str">
        <f t="shared" si="2"/>
        <v>🚨 Over Budget</v>
      </c>
      <c r="J32" s="2" t="str">
        <f>VLOOKUP(E32,VendorLookup!A2:B5,2,FALSE)</f>
        <v>Equipment Supplier</v>
      </c>
    </row>
    <row r="33" ht="14.25" customHeight="1">
      <c r="A33" s="2" t="s">
        <v>10</v>
      </c>
      <c r="B33" s="2">
        <v>8519.0</v>
      </c>
      <c r="C33" s="2">
        <v>7972.0</v>
      </c>
      <c r="D33" s="2" t="s">
        <v>11</v>
      </c>
      <c r="E33" s="2" t="s">
        <v>22</v>
      </c>
      <c r="F33" s="3">
        <v>45664.0</v>
      </c>
      <c r="G33" s="2" t="s">
        <v>16</v>
      </c>
      <c r="H33" s="2">
        <f t="shared" si="1"/>
        <v>-547</v>
      </c>
      <c r="I33" s="2" t="str">
        <f t="shared" si="2"/>
        <v>✅ Within Budget</v>
      </c>
      <c r="J33" s="2" t="str">
        <f>VLOOKUP(E33,VendorLookup!A2:B5,2,FALSE)</f>
        <v>Equipment Supplier</v>
      </c>
    </row>
    <row r="34" ht="14.25" customHeight="1">
      <c r="A34" s="2" t="s">
        <v>21</v>
      </c>
      <c r="B34" s="2">
        <v>12785.0</v>
      </c>
      <c r="C34" s="2">
        <v>17387.0</v>
      </c>
      <c r="D34" s="2" t="s">
        <v>14</v>
      </c>
      <c r="E34" s="2" t="s">
        <v>22</v>
      </c>
      <c r="F34" s="3">
        <v>45723.0</v>
      </c>
      <c r="G34" s="2" t="s">
        <v>18</v>
      </c>
      <c r="H34" s="2">
        <f t="shared" si="1"/>
        <v>4602</v>
      </c>
      <c r="I34" s="2" t="str">
        <f t="shared" si="2"/>
        <v>🚨 Over Budget</v>
      </c>
      <c r="J34" s="2" t="str">
        <f>VLOOKUP(E34,VendorLookup!A2:B5,2,FALSE)</f>
        <v>Equipment Supplier</v>
      </c>
    </row>
    <row r="35" ht="14.25" customHeight="1">
      <c r="A35" s="2" t="s">
        <v>21</v>
      </c>
      <c r="B35" s="2">
        <v>16586.0</v>
      </c>
      <c r="C35" s="2">
        <v>19015.0</v>
      </c>
      <c r="D35" s="2" t="s">
        <v>11</v>
      </c>
      <c r="E35" s="2" t="s">
        <v>12</v>
      </c>
      <c r="F35" s="3">
        <v>45741.0</v>
      </c>
      <c r="G35" s="2" t="s">
        <v>13</v>
      </c>
      <c r="H35" s="2">
        <f t="shared" si="1"/>
        <v>2429</v>
      </c>
      <c r="I35" s="2" t="str">
        <f t="shared" si="2"/>
        <v>⚠️ Over Budget</v>
      </c>
      <c r="J35" s="2" t="str">
        <f>VLOOKUP(E35,VendorLookup!A2:B5,2,FALSE)</f>
        <v>Venue Provider</v>
      </c>
    </row>
    <row r="36" ht="14.25" customHeight="1">
      <c r="A36" s="2" t="s">
        <v>19</v>
      </c>
      <c r="B36" s="2">
        <v>19743.0</v>
      </c>
      <c r="C36" s="2">
        <v>22924.0</v>
      </c>
      <c r="D36" s="2" t="s">
        <v>11</v>
      </c>
      <c r="E36" s="2" t="s">
        <v>17</v>
      </c>
      <c r="F36" s="3">
        <v>45696.0</v>
      </c>
      <c r="G36" s="2" t="s">
        <v>20</v>
      </c>
      <c r="H36" s="2">
        <f t="shared" si="1"/>
        <v>3181</v>
      </c>
      <c r="I36" s="2" t="str">
        <f t="shared" si="2"/>
        <v>⚠️ Over Budget</v>
      </c>
      <c r="J36" s="2" t="str">
        <f>VLOOKUP(E36,VendorLookup!A2:B5,2,FALSE)</f>
        <v>Marketing Agency</v>
      </c>
    </row>
    <row r="37" ht="14.25" customHeight="1">
      <c r="A37" s="2" t="s">
        <v>23</v>
      </c>
      <c r="B37" s="2">
        <v>19481.0</v>
      </c>
      <c r="C37" s="2">
        <v>23881.0</v>
      </c>
      <c r="D37" s="2" t="s">
        <v>14</v>
      </c>
      <c r="E37" s="2" t="s">
        <v>15</v>
      </c>
      <c r="F37" s="3">
        <v>45712.0</v>
      </c>
      <c r="G37" s="2" t="s">
        <v>20</v>
      </c>
      <c r="H37" s="2">
        <f t="shared" si="1"/>
        <v>4400</v>
      </c>
      <c r="I37" s="2" t="str">
        <f t="shared" si="2"/>
        <v>🚨 Over Budget</v>
      </c>
      <c r="J37" s="2" t="str">
        <f>VLOOKUP(E37,VendorLookup!A2:B5,2,FALSE)</f>
        <v>Food Services</v>
      </c>
    </row>
    <row r="38" ht="14.25" customHeight="1">
      <c r="A38" s="2" t="s">
        <v>24</v>
      </c>
      <c r="B38" s="2">
        <v>16030.0</v>
      </c>
      <c r="C38" s="2">
        <v>13380.0</v>
      </c>
      <c r="D38" s="2" t="s">
        <v>11</v>
      </c>
      <c r="E38" s="2" t="s">
        <v>12</v>
      </c>
      <c r="F38" s="3">
        <v>45713.0</v>
      </c>
      <c r="G38" s="2" t="s">
        <v>20</v>
      </c>
      <c r="H38" s="2">
        <f t="shared" si="1"/>
        <v>-2650</v>
      </c>
      <c r="I38" s="2" t="str">
        <f t="shared" si="2"/>
        <v>✅ Within Budget</v>
      </c>
      <c r="J38" s="2" t="str">
        <f>VLOOKUP(E38,VendorLookup!A2:B5,2,FALSE)</f>
        <v>Venue Provider</v>
      </c>
    </row>
    <row r="39" ht="14.25" customHeight="1">
      <c r="A39" s="2" t="s">
        <v>19</v>
      </c>
      <c r="B39" s="2">
        <v>15935.0</v>
      </c>
      <c r="C39" s="2">
        <v>16175.0</v>
      </c>
      <c r="D39" s="2" t="s">
        <v>11</v>
      </c>
      <c r="E39" s="2" t="s">
        <v>17</v>
      </c>
      <c r="F39" s="3">
        <v>45664.0</v>
      </c>
      <c r="G39" s="2" t="s">
        <v>20</v>
      </c>
      <c r="H39" s="2">
        <f t="shared" si="1"/>
        <v>240</v>
      </c>
      <c r="I39" s="2" t="str">
        <f t="shared" si="2"/>
        <v>⚠️ Over Budget</v>
      </c>
      <c r="J39" s="2" t="str">
        <f>VLOOKUP(E39,VendorLookup!A2:B5,2,FALSE)</f>
        <v>Marketing Agency</v>
      </c>
    </row>
    <row r="40" ht="14.25" customHeight="1">
      <c r="A40" s="2" t="s">
        <v>10</v>
      </c>
      <c r="B40" s="2">
        <v>7393.0</v>
      </c>
      <c r="C40" s="2">
        <v>5656.0</v>
      </c>
      <c r="D40" s="2" t="s">
        <v>11</v>
      </c>
      <c r="E40" s="2" t="s">
        <v>17</v>
      </c>
      <c r="F40" s="3">
        <v>45666.0</v>
      </c>
      <c r="G40" s="2" t="s">
        <v>20</v>
      </c>
      <c r="H40" s="2">
        <f t="shared" si="1"/>
        <v>-1737</v>
      </c>
      <c r="I40" s="2" t="str">
        <f t="shared" si="2"/>
        <v>✅ Within Budget</v>
      </c>
      <c r="J40" s="2" t="str">
        <f>VLOOKUP(E40,VendorLookup!A2:B5,2,FALSE)</f>
        <v>Marketing Agency</v>
      </c>
    </row>
    <row r="41" ht="14.25" customHeight="1">
      <c r="A41" s="2" t="s">
        <v>10</v>
      </c>
      <c r="B41" s="2">
        <v>6625.0</v>
      </c>
      <c r="C41" s="2">
        <v>8004.0</v>
      </c>
      <c r="D41" s="2" t="s">
        <v>14</v>
      </c>
      <c r="E41" s="2" t="s">
        <v>15</v>
      </c>
      <c r="F41" s="3">
        <v>45791.0</v>
      </c>
      <c r="G41" s="2" t="s">
        <v>16</v>
      </c>
      <c r="H41" s="2">
        <f t="shared" si="1"/>
        <v>1379</v>
      </c>
      <c r="I41" s="2" t="str">
        <f t="shared" si="2"/>
        <v>🚨 Over Budget</v>
      </c>
      <c r="J41" s="2" t="str">
        <f>VLOOKUP(E41,VendorLookup!A2:B5,2,FALSE)</f>
        <v>Food Services</v>
      </c>
    </row>
    <row r="42" ht="14.25" customHeight="1">
      <c r="A42" s="2" t="s">
        <v>24</v>
      </c>
      <c r="B42" s="2">
        <v>6992.0</v>
      </c>
      <c r="C42" s="2">
        <v>8991.0</v>
      </c>
      <c r="D42" s="2" t="s">
        <v>14</v>
      </c>
      <c r="E42" s="2" t="s">
        <v>15</v>
      </c>
      <c r="F42" s="3">
        <v>45664.0</v>
      </c>
      <c r="G42" s="2" t="s">
        <v>20</v>
      </c>
      <c r="H42" s="2">
        <f t="shared" si="1"/>
        <v>1999</v>
      </c>
      <c r="I42" s="2" t="str">
        <f t="shared" si="2"/>
        <v>🚨 Over Budget</v>
      </c>
      <c r="J42" s="2" t="str">
        <f>VLOOKUP(E42,VendorLookup!A2:B5,2,FALSE)</f>
        <v>Food Services</v>
      </c>
    </row>
    <row r="43" ht="14.25" customHeight="1">
      <c r="A43" s="2" t="s">
        <v>23</v>
      </c>
      <c r="B43" s="2">
        <v>7363.0</v>
      </c>
      <c r="C43" s="2">
        <v>5001.0</v>
      </c>
      <c r="D43" s="2" t="s">
        <v>14</v>
      </c>
      <c r="E43" s="2" t="s">
        <v>22</v>
      </c>
      <c r="F43" s="3">
        <v>45718.0</v>
      </c>
      <c r="G43" s="2" t="s">
        <v>13</v>
      </c>
      <c r="H43" s="2">
        <f t="shared" si="1"/>
        <v>-2362</v>
      </c>
      <c r="I43" s="2" t="str">
        <f t="shared" si="2"/>
        <v>✅ Within Budget</v>
      </c>
      <c r="J43" s="2" t="str">
        <f>VLOOKUP(E43,VendorLookup!A2:B5,2,FALSE)</f>
        <v>Equipment Supplier</v>
      </c>
    </row>
    <row r="44" ht="14.25" customHeight="1">
      <c r="A44" s="2" t="s">
        <v>19</v>
      </c>
      <c r="B44" s="2">
        <v>10439.0</v>
      </c>
      <c r="C44" s="2">
        <v>13151.0</v>
      </c>
      <c r="D44" s="2" t="s">
        <v>11</v>
      </c>
      <c r="E44" s="2" t="s">
        <v>12</v>
      </c>
      <c r="F44" s="3">
        <v>45675.0</v>
      </c>
      <c r="G44" s="2" t="s">
        <v>20</v>
      </c>
      <c r="H44" s="2">
        <f t="shared" si="1"/>
        <v>2712</v>
      </c>
      <c r="I44" s="2" t="str">
        <f t="shared" si="2"/>
        <v>⚠️ Over Budget</v>
      </c>
      <c r="J44" s="2" t="str">
        <f>VLOOKUP(E44,VendorLookup!A2:B5,2,FALSE)</f>
        <v>Venue Provider</v>
      </c>
    </row>
    <row r="45" ht="14.25" customHeight="1">
      <c r="A45" s="2" t="s">
        <v>21</v>
      </c>
      <c r="B45" s="2">
        <v>17841.0</v>
      </c>
      <c r="C45" s="2">
        <v>19440.0</v>
      </c>
      <c r="D45" s="2" t="s">
        <v>11</v>
      </c>
      <c r="E45" s="2" t="s">
        <v>15</v>
      </c>
      <c r="F45" s="3">
        <v>45826.0</v>
      </c>
      <c r="G45" s="2" t="s">
        <v>16</v>
      </c>
      <c r="H45" s="2">
        <f t="shared" si="1"/>
        <v>1599</v>
      </c>
      <c r="I45" s="2" t="str">
        <f t="shared" si="2"/>
        <v>⚠️ Over Budget</v>
      </c>
      <c r="J45" s="2" t="str">
        <f>VLOOKUP(E45,VendorLookup!A2:B5,2,FALSE)</f>
        <v>Food Services</v>
      </c>
    </row>
    <row r="46" ht="14.25" customHeight="1">
      <c r="A46" s="2" t="s">
        <v>21</v>
      </c>
      <c r="B46" s="2">
        <v>7894.0</v>
      </c>
      <c r="C46" s="2">
        <v>7678.0</v>
      </c>
      <c r="D46" s="2" t="s">
        <v>14</v>
      </c>
      <c r="E46" s="2" t="s">
        <v>15</v>
      </c>
      <c r="F46" s="3">
        <v>45780.0</v>
      </c>
      <c r="G46" s="2" t="s">
        <v>20</v>
      </c>
      <c r="H46" s="2">
        <f t="shared" si="1"/>
        <v>-216</v>
      </c>
      <c r="I46" s="2" t="str">
        <f t="shared" si="2"/>
        <v>✅ Within Budget</v>
      </c>
      <c r="J46" s="2" t="str">
        <f>VLOOKUP(E46,VendorLookup!A2:B5,2,FALSE)</f>
        <v>Food Services</v>
      </c>
    </row>
    <row r="47" ht="14.25" customHeight="1">
      <c r="A47" s="2" t="s">
        <v>23</v>
      </c>
      <c r="B47" s="2">
        <v>7556.0</v>
      </c>
      <c r="C47" s="2">
        <v>12121.0</v>
      </c>
      <c r="D47" s="2" t="s">
        <v>14</v>
      </c>
      <c r="E47" s="2" t="s">
        <v>22</v>
      </c>
      <c r="F47" s="3">
        <v>45838.0</v>
      </c>
      <c r="G47" s="2" t="s">
        <v>20</v>
      </c>
      <c r="H47" s="2">
        <f t="shared" si="1"/>
        <v>4565</v>
      </c>
      <c r="I47" s="2" t="str">
        <f t="shared" si="2"/>
        <v>🚨 Over Budget</v>
      </c>
      <c r="J47" s="2" t="str">
        <f>VLOOKUP(E47,VendorLookup!A2:B5,2,FALSE)</f>
        <v>Equipment Supplier</v>
      </c>
    </row>
    <row r="48" ht="14.25" customHeight="1">
      <c r="A48" s="2" t="s">
        <v>24</v>
      </c>
      <c r="B48" s="2">
        <v>18643.0</v>
      </c>
      <c r="C48" s="2">
        <v>17439.0</v>
      </c>
      <c r="D48" s="2" t="s">
        <v>14</v>
      </c>
      <c r="E48" s="2" t="s">
        <v>15</v>
      </c>
      <c r="F48" s="3">
        <v>45719.0</v>
      </c>
      <c r="G48" s="2" t="s">
        <v>18</v>
      </c>
      <c r="H48" s="2">
        <f t="shared" si="1"/>
        <v>-1204</v>
      </c>
      <c r="I48" s="2" t="str">
        <f t="shared" si="2"/>
        <v>✅ Within Budget</v>
      </c>
      <c r="J48" s="2" t="str">
        <f>VLOOKUP(E48,VendorLookup!A2:B5,2,FALSE)</f>
        <v>Food Services</v>
      </c>
    </row>
    <row r="49" ht="14.25" customHeight="1">
      <c r="A49" s="2" t="s">
        <v>24</v>
      </c>
      <c r="B49" s="2">
        <v>6404.0</v>
      </c>
      <c r="C49" s="2">
        <v>10700.0</v>
      </c>
      <c r="D49" s="2" t="s">
        <v>14</v>
      </c>
      <c r="E49" s="2" t="s">
        <v>17</v>
      </c>
      <c r="F49" s="3">
        <v>45789.0</v>
      </c>
      <c r="G49" s="2" t="s">
        <v>16</v>
      </c>
      <c r="H49" s="2">
        <f t="shared" si="1"/>
        <v>4296</v>
      </c>
      <c r="I49" s="2" t="str">
        <f t="shared" si="2"/>
        <v>🚨 Over Budget</v>
      </c>
      <c r="J49" s="2" t="str">
        <f>VLOOKUP(E49,VendorLookup!A2:B5,2,FALSE)</f>
        <v>Marketing Agency</v>
      </c>
    </row>
    <row r="50" ht="14.25" customHeight="1">
      <c r="A50" s="2" t="s">
        <v>24</v>
      </c>
      <c r="B50" s="2">
        <v>5670.0</v>
      </c>
      <c r="C50" s="2">
        <v>6447.0</v>
      </c>
      <c r="D50" s="2" t="s">
        <v>14</v>
      </c>
      <c r="E50" s="2" t="s">
        <v>15</v>
      </c>
      <c r="F50" s="3">
        <v>45723.0</v>
      </c>
      <c r="G50" s="2" t="s">
        <v>13</v>
      </c>
      <c r="H50" s="2">
        <f t="shared" si="1"/>
        <v>777</v>
      </c>
      <c r="I50" s="2" t="str">
        <f t="shared" si="2"/>
        <v>🚨 Over Budget</v>
      </c>
      <c r="J50" s="2" t="str">
        <f>VLOOKUP(E50,VendorLookup!A2:B5,2,FALSE)</f>
        <v>Food Services</v>
      </c>
    </row>
    <row r="51" ht="14.25" customHeight="1">
      <c r="A51" s="2" t="s">
        <v>21</v>
      </c>
      <c r="B51" s="2">
        <v>19129.0</v>
      </c>
      <c r="C51" s="2">
        <v>23257.0</v>
      </c>
      <c r="D51" s="2" t="s">
        <v>11</v>
      </c>
      <c r="E51" s="2" t="s">
        <v>15</v>
      </c>
      <c r="F51" s="3">
        <v>45747.0</v>
      </c>
      <c r="G51" s="2" t="s">
        <v>13</v>
      </c>
      <c r="H51" s="2">
        <f t="shared" si="1"/>
        <v>4128</v>
      </c>
      <c r="I51" s="2" t="str">
        <f t="shared" si="2"/>
        <v>⚠️ Over Budget</v>
      </c>
      <c r="J51" s="2" t="str">
        <f>VLOOKUP(E51,VendorLookup!A2:B5,2,FALSE)</f>
        <v>Food Services</v>
      </c>
    </row>
    <row r="52" ht="14.25" customHeight="1">
      <c r="A52" s="2" t="s">
        <v>23</v>
      </c>
      <c r="B52" s="2">
        <v>8513.0</v>
      </c>
      <c r="C52" s="2">
        <v>13295.0</v>
      </c>
      <c r="D52" s="2" t="s">
        <v>11</v>
      </c>
      <c r="E52" s="2" t="s">
        <v>15</v>
      </c>
      <c r="F52" s="3">
        <v>45809.0</v>
      </c>
      <c r="G52" s="2" t="s">
        <v>16</v>
      </c>
      <c r="H52" s="2">
        <f t="shared" si="1"/>
        <v>4782</v>
      </c>
      <c r="I52" s="2" t="str">
        <f t="shared" si="2"/>
        <v>⚠️ Over Budget</v>
      </c>
      <c r="J52" s="2" t="str">
        <f>VLOOKUP(E52,VendorLookup!A2:B5,2,FALSE)</f>
        <v>Food Services</v>
      </c>
    </row>
    <row r="53" ht="14.25" customHeight="1">
      <c r="A53" s="2" t="s">
        <v>10</v>
      </c>
      <c r="B53" s="2">
        <v>9343.0</v>
      </c>
      <c r="C53" s="2">
        <v>7650.0</v>
      </c>
      <c r="D53" s="2" t="s">
        <v>14</v>
      </c>
      <c r="E53" s="2" t="s">
        <v>12</v>
      </c>
      <c r="F53" s="3">
        <v>45770.0</v>
      </c>
      <c r="G53" s="2" t="s">
        <v>18</v>
      </c>
      <c r="H53" s="2">
        <f t="shared" si="1"/>
        <v>-1693</v>
      </c>
      <c r="I53" s="2" t="str">
        <f t="shared" si="2"/>
        <v>✅ Within Budget</v>
      </c>
      <c r="J53" s="2" t="str">
        <f>VLOOKUP(E53,VendorLookup!A2:B5,2,FALSE)</f>
        <v>Venue Provider</v>
      </c>
    </row>
    <row r="54" ht="14.25" customHeight="1">
      <c r="A54" s="2" t="s">
        <v>10</v>
      </c>
      <c r="B54" s="2">
        <v>13944.0</v>
      </c>
      <c r="C54" s="2">
        <v>14091.0</v>
      </c>
      <c r="D54" s="2" t="s">
        <v>14</v>
      </c>
      <c r="E54" s="2" t="s">
        <v>12</v>
      </c>
      <c r="F54" s="3">
        <v>45702.0</v>
      </c>
      <c r="G54" s="2" t="s">
        <v>16</v>
      </c>
      <c r="H54" s="2">
        <f t="shared" si="1"/>
        <v>147</v>
      </c>
      <c r="I54" s="2" t="str">
        <f t="shared" si="2"/>
        <v>🚨 Over Budget</v>
      </c>
      <c r="J54" s="2" t="str">
        <f>VLOOKUP(E54,VendorLookup!A2:B5,2,FALSE)</f>
        <v>Venue Provider</v>
      </c>
    </row>
    <row r="55" ht="14.25" customHeight="1">
      <c r="A55" s="2" t="s">
        <v>23</v>
      </c>
      <c r="B55" s="2">
        <v>7907.0</v>
      </c>
      <c r="C55" s="2">
        <v>7235.0</v>
      </c>
      <c r="D55" s="2" t="s">
        <v>14</v>
      </c>
      <c r="E55" s="2" t="s">
        <v>15</v>
      </c>
      <c r="F55" s="3">
        <v>45771.0</v>
      </c>
      <c r="G55" s="2" t="s">
        <v>20</v>
      </c>
      <c r="H55" s="2">
        <f t="shared" si="1"/>
        <v>-672</v>
      </c>
      <c r="I55" s="2" t="str">
        <f t="shared" si="2"/>
        <v>✅ Within Budget</v>
      </c>
      <c r="J55" s="2" t="str">
        <f>VLOOKUP(E55,VendorLookup!A2:B5,2,FALSE)</f>
        <v>Food Services</v>
      </c>
    </row>
    <row r="56" ht="14.25" customHeight="1">
      <c r="A56" s="2" t="s">
        <v>10</v>
      </c>
      <c r="B56" s="2">
        <v>5859.0</v>
      </c>
      <c r="C56" s="2">
        <v>8416.0</v>
      </c>
      <c r="D56" s="2" t="s">
        <v>11</v>
      </c>
      <c r="E56" s="2" t="s">
        <v>22</v>
      </c>
      <c r="F56" s="3">
        <v>45662.0</v>
      </c>
      <c r="G56" s="2" t="s">
        <v>13</v>
      </c>
      <c r="H56" s="2">
        <f t="shared" si="1"/>
        <v>2557</v>
      </c>
      <c r="I56" s="2" t="str">
        <f t="shared" si="2"/>
        <v>⚠️ Over Budget</v>
      </c>
      <c r="J56" s="2" t="str">
        <f>VLOOKUP(E56,VendorLookup!A2:B5,2,FALSE)</f>
        <v>Equipment Supplier</v>
      </c>
    </row>
    <row r="57" ht="14.25" customHeight="1">
      <c r="A57" s="2" t="s">
        <v>24</v>
      </c>
      <c r="B57" s="2">
        <v>16234.0</v>
      </c>
      <c r="C57" s="2">
        <v>18436.0</v>
      </c>
      <c r="D57" s="2" t="s">
        <v>14</v>
      </c>
      <c r="E57" s="2" t="s">
        <v>15</v>
      </c>
      <c r="F57" s="3">
        <v>45763.0</v>
      </c>
      <c r="G57" s="2" t="s">
        <v>18</v>
      </c>
      <c r="H57" s="2">
        <f t="shared" si="1"/>
        <v>2202</v>
      </c>
      <c r="I57" s="2" t="str">
        <f t="shared" si="2"/>
        <v>🚨 Over Budget</v>
      </c>
      <c r="J57" s="2" t="str">
        <f>VLOOKUP(E57,VendorLookup!A2:B5,2,FALSE)</f>
        <v>Food Services</v>
      </c>
    </row>
    <row r="58" ht="14.25" customHeight="1">
      <c r="A58" s="2" t="s">
        <v>10</v>
      </c>
      <c r="B58" s="2">
        <v>13427.0</v>
      </c>
      <c r="C58" s="2">
        <v>17067.0</v>
      </c>
      <c r="D58" s="2" t="s">
        <v>11</v>
      </c>
      <c r="E58" s="2" t="s">
        <v>12</v>
      </c>
      <c r="F58" s="3">
        <v>45835.0</v>
      </c>
      <c r="G58" s="2" t="s">
        <v>13</v>
      </c>
      <c r="H58" s="2">
        <f t="shared" si="1"/>
        <v>3640</v>
      </c>
      <c r="I58" s="2" t="str">
        <f t="shared" si="2"/>
        <v>⚠️ Over Budget</v>
      </c>
      <c r="J58" s="2" t="str">
        <f>VLOOKUP(E58,VendorLookup!A2:B5,2,FALSE)</f>
        <v>Venue Provider</v>
      </c>
    </row>
    <row r="59" ht="14.25" customHeight="1">
      <c r="A59" s="2" t="s">
        <v>19</v>
      </c>
      <c r="B59" s="2">
        <v>5101.0</v>
      </c>
      <c r="C59" s="2">
        <v>2991.0</v>
      </c>
      <c r="D59" s="2" t="s">
        <v>14</v>
      </c>
      <c r="E59" s="2" t="s">
        <v>22</v>
      </c>
      <c r="F59" s="3">
        <v>45812.0</v>
      </c>
      <c r="G59" s="2" t="s">
        <v>18</v>
      </c>
      <c r="H59" s="2">
        <f t="shared" si="1"/>
        <v>-2110</v>
      </c>
      <c r="I59" s="2" t="str">
        <f t="shared" si="2"/>
        <v>✅ Within Budget</v>
      </c>
      <c r="J59" s="2" t="str">
        <f>VLOOKUP(E59,VendorLookup!A2:B5,2,FALSE)</f>
        <v>Equipment Supplier</v>
      </c>
    </row>
    <row r="60" ht="14.25" customHeight="1">
      <c r="A60" s="2" t="s">
        <v>23</v>
      </c>
      <c r="B60" s="2">
        <v>12887.0</v>
      </c>
      <c r="C60" s="2">
        <v>13118.0</v>
      </c>
      <c r="D60" s="2" t="s">
        <v>14</v>
      </c>
      <c r="E60" s="2" t="s">
        <v>17</v>
      </c>
      <c r="F60" s="3">
        <v>45771.0</v>
      </c>
      <c r="G60" s="2" t="s">
        <v>18</v>
      </c>
      <c r="H60" s="2">
        <f t="shared" si="1"/>
        <v>231</v>
      </c>
      <c r="I60" s="2" t="str">
        <f t="shared" si="2"/>
        <v>🚨 Over Budget</v>
      </c>
      <c r="J60" s="2" t="str">
        <f>VLOOKUP(E60,VendorLookup!A2:B5,2,FALSE)</f>
        <v>Marketing Agency</v>
      </c>
    </row>
    <row r="61" ht="14.25" customHeight="1">
      <c r="A61" s="2" t="s">
        <v>24</v>
      </c>
      <c r="B61" s="2">
        <v>19227.0</v>
      </c>
      <c r="C61" s="2">
        <v>22755.0</v>
      </c>
      <c r="D61" s="2" t="s">
        <v>11</v>
      </c>
      <c r="E61" s="2" t="s">
        <v>22</v>
      </c>
      <c r="F61" s="3">
        <v>45768.0</v>
      </c>
      <c r="G61" s="2" t="s">
        <v>20</v>
      </c>
      <c r="H61" s="2">
        <f t="shared" si="1"/>
        <v>3528</v>
      </c>
      <c r="I61" s="2" t="str">
        <f t="shared" si="2"/>
        <v>⚠️ Over Budget</v>
      </c>
      <c r="J61" s="2" t="str">
        <f>VLOOKUP(E61,VendorLookup!A2:B5,2,FALSE)</f>
        <v>Equipment Supplier</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custom" allowBlank="1" showDropDown="1" sqref="F2:F61">
      <formula1>OR(NOT(ISERROR(DATEVALUE(F2))), AND(ISNUMBER(F2), LEFT(CELL("format", F2))="D"))</formula1>
    </dataValidation>
  </dataValidations>
  <printOptions/>
  <pageMargins bottom="1.0" footer="0.0" header="0.0" left="0.75" right="0.75" top="1.0"/>
  <pageSetup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29"/>
    <col customWidth="1" min="2" max="2" width="22.57"/>
    <col customWidth="1" min="3" max="3" width="24.57"/>
    <col customWidth="1" min="4" max="26" width="9.0"/>
  </cols>
  <sheetData>
    <row r="1" ht="14.25" customHeight="1">
      <c r="A1" s="1" t="s">
        <v>4</v>
      </c>
      <c r="B1" s="1" t="s">
        <v>25</v>
      </c>
    </row>
    <row r="2" ht="14.25" customHeight="1">
      <c r="A2" s="2" t="s">
        <v>15</v>
      </c>
      <c r="B2" s="2" t="s">
        <v>26</v>
      </c>
    </row>
    <row r="3" ht="14.25" customHeight="1">
      <c r="A3" s="2" t="s">
        <v>12</v>
      </c>
      <c r="B3" s="2" t="s">
        <v>27</v>
      </c>
    </row>
    <row r="4" ht="14.25" customHeight="1">
      <c r="A4" s="2" t="s">
        <v>17</v>
      </c>
      <c r="B4" s="2" t="s">
        <v>28</v>
      </c>
    </row>
    <row r="5" ht="14.25" customHeight="1">
      <c r="A5" s="2" t="s">
        <v>22</v>
      </c>
      <c r="B5" s="2" t="s">
        <v>29</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71"/>
    <col customWidth="1" min="2" max="2" width="23.71"/>
    <col customWidth="1" min="3" max="3" width="9.0"/>
    <col customWidth="1" min="4" max="4" width="27.57"/>
    <col customWidth="1" min="5" max="5" width="13.14"/>
    <col customWidth="1" min="6" max="26" width="9.0"/>
  </cols>
  <sheetData>
    <row r="1" ht="14.25" customHeight="1">
      <c r="A1" s="4" t="s">
        <v>30</v>
      </c>
    </row>
    <row r="2" ht="14.25" customHeight="1"/>
    <row r="3" ht="14.25" customHeight="1">
      <c r="A3" s="5" t="s">
        <v>0</v>
      </c>
      <c r="B3" s="5" t="s">
        <v>31</v>
      </c>
      <c r="D3" s="5" t="s">
        <v>32</v>
      </c>
      <c r="E3" s="6">
        <f>SUM(Dataset!B2:B61)</f>
        <v>721075</v>
      </c>
    </row>
    <row r="4" ht="14.25" customHeight="1">
      <c r="A4" s="5" t="s">
        <v>23</v>
      </c>
      <c r="B4" s="7">
        <f>SUMIF(Dataset!A2:A61,"Catering",Dataset!C2:C61)</f>
        <v>162835</v>
      </c>
      <c r="D4" s="5" t="s">
        <v>33</v>
      </c>
      <c r="E4" s="6">
        <f>AVERAGE(Dataset!C2:C61)</f>
        <v>13521.71667</v>
      </c>
    </row>
    <row r="5" ht="14.25" customHeight="1">
      <c r="A5" s="5" t="s">
        <v>24</v>
      </c>
      <c r="B5" s="7">
        <f>SUMIF(Dataset!A2:A61,"Venue",Dataset!C2:C61)</f>
        <v>141268</v>
      </c>
      <c r="D5" s="5" t="s">
        <v>34</v>
      </c>
      <c r="E5" s="6">
        <f>COUNTIF(Dataset!D2:D61,"Unpaid")</f>
        <v>28</v>
      </c>
    </row>
    <row r="6" ht="14.25" customHeight="1">
      <c r="A6" s="5" t="s">
        <v>10</v>
      </c>
      <c r="B6" s="7">
        <f>SUMIF(Dataset!A2:A61,"Marketing",Dataset!C2:C61)</f>
        <v>146899</v>
      </c>
      <c r="D6" s="5" t="s">
        <v>35</v>
      </c>
      <c r="E6" s="6">
        <f>SUMIF(Dataset!A2:A61,"Catering",Dataset!C2:C61)</f>
        <v>162835</v>
      </c>
    </row>
    <row r="7" ht="14.25" customHeight="1">
      <c r="A7" s="5" t="s">
        <v>19</v>
      </c>
      <c r="B7" s="7">
        <f>SUMIF(Dataset!A2:A61,"Equipment",Dataset!C2:C61)</f>
        <v>187964</v>
      </c>
    </row>
    <row r="8" ht="14.25" customHeight="1">
      <c r="A8" s="5" t="s">
        <v>21</v>
      </c>
      <c r="B8" s="7">
        <f>SUMIF(Dataset!A2:A61,"Logistics",Dataset!C2:C61)</f>
        <v>172337</v>
      </c>
    </row>
    <row r="9" ht="14.25" customHeight="1"/>
    <row r="10" ht="14.25" customHeight="1">
      <c r="A10" s="4" t="s">
        <v>36</v>
      </c>
    </row>
    <row r="11" ht="14.25" customHeight="1"/>
    <row r="12" ht="14.25" customHeight="1">
      <c r="A12" s="5" t="s">
        <v>6</v>
      </c>
      <c r="B12" s="5" t="s">
        <v>31</v>
      </c>
    </row>
    <row r="13" ht="14.25" customHeight="1">
      <c r="A13" s="5" t="s">
        <v>18</v>
      </c>
      <c r="B13" s="6">
        <f>SUMIF(Dataset!G2:G61,"Officer 1",Dataset!C2:C61)</f>
        <v>159112</v>
      </c>
    </row>
    <row r="14" ht="14.25" customHeight="1">
      <c r="A14" s="5" t="s">
        <v>16</v>
      </c>
      <c r="B14" s="6">
        <f>SUMIF(Dataset!G2:G61,"Officer 2",Dataset!C2:C61)</f>
        <v>156110</v>
      </c>
    </row>
    <row r="15" ht="14.25" customHeight="1">
      <c r="A15" s="5" t="s">
        <v>20</v>
      </c>
      <c r="B15" s="6">
        <f>SUMIF(Dataset!G2:G61,"Officer 3",Dataset!C2:C61)</f>
        <v>242716</v>
      </c>
    </row>
    <row r="16" ht="14.25" customHeight="1">
      <c r="A16" s="5" t="s">
        <v>13</v>
      </c>
      <c r="B16" s="6">
        <f>SUMIF(Dataset!G2:G61,"Officer 4",Dataset!C2:C61)</f>
        <v>253365</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24.57"/>
    <col customWidth="1" min="3" max="26" width="9.0"/>
  </cols>
  <sheetData>
    <row r="1" ht="14.25" customHeight="1">
      <c r="A1" s="8" t="s">
        <v>37</v>
      </c>
      <c r="B1" s="9">
        <f>SUM(Dataset!B2:B61)</f>
        <v>721075</v>
      </c>
    </row>
    <row r="2" ht="14.25" customHeight="1">
      <c r="A2" s="8" t="s">
        <v>38</v>
      </c>
      <c r="B2" s="9">
        <f>SUM(Dataset!C2:C61)</f>
        <v>811303</v>
      </c>
    </row>
    <row r="3" ht="14.25" customHeight="1">
      <c r="A3" s="8" t="s">
        <v>39</v>
      </c>
      <c r="B3" s="9">
        <f>MAX(Dataset!C2:C61)</f>
        <v>23881</v>
      </c>
    </row>
    <row r="4" ht="14.25" customHeight="1">
      <c r="A4" s="8" t="s">
        <v>40</v>
      </c>
      <c r="B4" s="9">
        <f>MIN(Dataset!C2:C61)</f>
        <v>2991</v>
      </c>
    </row>
    <row r="5" ht="14.25" customHeight="1"/>
    <row r="6" ht="14.25" customHeight="1">
      <c r="A6" s="10" t="s">
        <v>11</v>
      </c>
      <c r="B6" s="11">
        <f>COUNTIF(Dataset!D2:D61,"Paid")</f>
        <v>32</v>
      </c>
    </row>
    <row r="7" ht="14.25" customHeight="1">
      <c r="A7" s="12" t="s">
        <v>14</v>
      </c>
      <c r="B7" s="13">
        <f>COUNTIF(Dataset!D2:D61,"Unpaid")</f>
        <v>28</v>
      </c>
    </row>
    <row r="8" ht="14.25" customHeight="1"/>
    <row r="9" ht="14.25" customHeight="1"/>
    <row r="10" ht="14.25" customHeight="1">
      <c r="A10" s="8" t="s">
        <v>41</v>
      </c>
      <c r="B10" s="9" t="s">
        <v>42</v>
      </c>
    </row>
    <row r="11" ht="14.25" customHeight="1">
      <c r="A11" s="8" t="s">
        <v>43</v>
      </c>
      <c r="B11" s="9">
        <v>95598.0</v>
      </c>
    </row>
    <row r="12" ht="14.25" customHeight="1">
      <c r="A12" s="8" t="s">
        <v>44</v>
      </c>
      <c r="B12" s="9">
        <v>96967.0</v>
      </c>
    </row>
    <row r="13" ht="14.25" customHeight="1">
      <c r="A13" s="8" t="s">
        <v>45</v>
      </c>
      <c r="B13" s="9">
        <v>49488.0</v>
      </c>
    </row>
    <row r="14" ht="14.25" customHeight="1">
      <c r="A14" s="8" t="s">
        <v>46</v>
      </c>
      <c r="B14" s="9">
        <v>75914.0</v>
      </c>
    </row>
    <row r="15" ht="14.25" customHeight="1">
      <c r="A15" s="8" t="s">
        <v>47</v>
      </c>
      <c r="B15" s="9">
        <v>76788.0</v>
      </c>
    </row>
    <row r="16" ht="14.25" customHeight="1">
      <c r="A16" s="8" t="s">
        <v>48</v>
      </c>
      <c r="B16" s="9">
        <v>37476.0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4"/>
  <legacyDrawing r:id="rId5"/>
  <tableParts count="2">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57"/>
    <col customWidth="1" min="3" max="3" width="223.0"/>
  </cols>
  <sheetData>
    <row r="1">
      <c r="A1" s="14" t="s">
        <v>49</v>
      </c>
    </row>
  </sheetData>
  <drawing r:id="rId1"/>
</worksheet>
</file>